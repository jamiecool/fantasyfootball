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206" documentId="11_0B1D56BE9CDCCE836B02CE7A5FB0D4A9BBFD1C62" xr6:coauthVersionLast="47" xr6:coauthVersionMax="47" xr10:uidLastSave="{6D7DB6D4-499A-40F3-9B03-AEF7546D578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10" i="1"/>
  <c r="E11" i="1"/>
  <c r="E12" i="1"/>
  <c r="E13" i="1"/>
  <c r="E14" i="1"/>
  <c r="E15" i="1"/>
  <c r="E16" i="1"/>
  <c r="E18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8" i="1"/>
  <c r="E129" i="1"/>
  <c r="E132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50" i="1"/>
  <c r="E151" i="1"/>
  <c r="E152" i="1"/>
  <c r="E154" i="1"/>
  <c r="E155" i="1"/>
  <c r="E156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C24" i="1"/>
  <c r="C36" i="1" s="1"/>
  <c r="C48" i="1" s="1"/>
  <c r="C60" i="1" s="1"/>
  <c r="C72" i="1" s="1"/>
  <c r="C84" i="1" s="1"/>
  <c r="C96" i="1" s="1"/>
  <c r="C108" i="1" s="1"/>
  <c r="C120" i="1" s="1"/>
  <c r="C132" i="1" s="1"/>
  <c r="C144" i="1" s="1"/>
  <c r="C156" i="1" s="1"/>
  <c r="C168" i="1" s="1"/>
  <c r="C180" i="1" s="1"/>
  <c r="C192" i="1" s="1"/>
  <c r="C25" i="1"/>
  <c r="C37" i="1" s="1"/>
  <c r="C49" i="1" s="1"/>
  <c r="C61" i="1" s="1"/>
  <c r="C73" i="1" s="1"/>
  <c r="C85" i="1" s="1"/>
  <c r="C97" i="1" s="1"/>
  <c r="C109" i="1" s="1"/>
  <c r="C121" i="1" s="1"/>
  <c r="C133" i="1" s="1"/>
  <c r="C145" i="1" s="1"/>
  <c r="C157" i="1" s="1"/>
  <c r="C169" i="1" s="1"/>
  <c r="C181" i="1" s="1"/>
  <c r="C193" i="1" s="1"/>
  <c r="C23" i="1"/>
  <c r="C35" i="1" s="1"/>
  <c r="C47" i="1" s="1"/>
  <c r="C59" i="1" s="1"/>
  <c r="C71" i="1" s="1"/>
  <c r="C83" i="1" s="1"/>
  <c r="C95" i="1" s="1"/>
  <c r="C107" i="1" s="1"/>
  <c r="C119" i="1" s="1"/>
  <c r="C131" i="1" s="1"/>
  <c r="C143" i="1" s="1"/>
  <c r="C155" i="1" s="1"/>
  <c r="C167" i="1" s="1"/>
  <c r="C179" i="1" s="1"/>
  <c r="C191" i="1" s="1"/>
  <c r="C22" i="1"/>
  <c r="C34" i="1" s="1"/>
  <c r="C46" i="1" s="1"/>
  <c r="C58" i="1" s="1"/>
  <c r="C70" i="1" s="1"/>
  <c r="C82" i="1" s="1"/>
  <c r="C94" i="1" s="1"/>
  <c r="C106" i="1" s="1"/>
  <c r="C118" i="1" s="1"/>
  <c r="C130" i="1" s="1"/>
  <c r="C142" i="1" s="1"/>
  <c r="C154" i="1" s="1"/>
  <c r="C166" i="1" s="1"/>
  <c r="C178" i="1" s="1"/>
  <c r="C190" i="1" s="1"/>
  <c r="C20" i="1"/>
  <c r="C32" i="1" s="1"/>
  <c r="C44" i="1" s="1"/>
  <c r="C56" i="1" s="1"/>
  <c r="C68" i="1" s="1"/>
  <c r="C80" i="1" s="1"/>
  <c r="C92" i="1" s="1"/>
  <c r="C104" i="1" s="1"/>
  <c r="C116" i="1" s="1"/>
  <c r="C128" i="1" s="1"/>
  <c r="C140" i="1" s="1"/>
  <c r="C152" i="1" s="1"/>
  <c r="C164" i="1" s="1"/>
  <c r="C176" i="1" s="1"/>
  <c r="C188" i="1" s="1"/>
  <c r="C21" i="1"/>
  <c r="C33" i="1" s="1"/>
  <c r="C45" i="1" s="1"/>
  <c r="C57" i="1" s="1"/>
  <c r="C69" i="1" s="1"/>
  <c r="C81" i="1" s="1"/>
  <c r="C93" i="1" s="1"/>
  <c r="C105" i="1" s="1"/>
  <c r="C117" i="1" s="1"/>
  <c r="C129" i="1" s="1"/>
  <c r="C141" i="1" s="1"/>
  <c r="C153" i="1" s="1"/>
  <c r="C165" i="1" s="1"/>
  <c r="C177" i="1" s="1"/>
  <c r="C189" i="1" s="1"/>
  <c r="C19" i="1"/>
  <c r="C31" i="1" s="1"/>
  <c r="C43" i="1" s="1"/>
  <c r="C55" i="1" s="1"/>
  <c r="C67" i="1" s="1"/>
  <c r="C79" i="1" s="1"/>
  <c r="C91" i="1" s="1"/>
  <c r="C103" i="1" s="1"/>
  <c r="C115" i="1" s="1"/>
  <c r="C127" i="1" s="1"/>
  <c r="C139" i="1" s="1"/>
  <c r="C151" i="1" s="1"/>
  <c r="C163" i="1" s="1"/>
  <c r="C175" i="1" s="1"/>
  <c r="C187" i="1" s="1"/>
  <c r="C17" i="1"/>
  <c r="C29" i="1" s="1"/>
  <c r="C41" i="1" s="1"/>
  <c r="C53" i="1" s="1"/>
  <c r="C65" i="1" s="1"/>
  <c r="C77" i="1" s="1"/>
  <c r="C89" i="1" s="1"/>
  <c r="C101" i="1" s="1"/>
  <c r="C113" i="1" s="1"/>
  <c r="C125" i="1" s="1"/>
  <c r="C137" i="1" s="1"/>
  <c r="C149" i="1" s="1"/>
  <c r="C161" i="1" s="1"/>
  <c r="C173" i="1" s="1"/>
  <c r="C185" i="1" s="1"/>
  <c r="C18" i="1"/>
  <c r="C30" i="1" s="1"/>
  <c r="C42" i="1" s="1"/>
  <c r="C54" i="1" s="1"/>
  <c r="C66" i="1" s="1"/>
  <c r="C78" i="1" s="1"/>
  <c r="C90" i="1" s="1"/>
  <c r="C102" i="1" s="1"/>
  <c r="C114" i="1" s="1"/>
  <c r="C126" i="1" s="1"/>
  <c r="C138" i="1" s="1"/>
  <c r="C150" i="1" s="1"/>
  <c r="C162" i="1" s="1"/>
  <c r="C174" i="1" s="1"/>
  <c r="C186" i="1" s="1"/>
  <c r="C16" i="1"/>
  <c r="C28" i="1" s="1"/>
  <c r="C40" i="1" s="1"/>
  <c r="C52" i="1" s="1"/>
  <c r="C64" i="1" s="1"/>
  <c r="C76" i="1" s="1"/>
  <c r="C88" i="1" s="1"/>
  <c r="C100" i="1" s="1"/>
  <c r="C112" i="1" s="1"/>
  <c r="C124" i="1" s="1"/>
  <c r="C136" i="1" s="1"/>
  <c r="C148" i="1" s="1"/>
  <c r="C160" i="1" s="1"/>
  <c r="C172" i="1" s="1"/>
  <c r="C184" i="1" s="1"/>
  <c r="C15" i="1"/>
  <c r="C27" i="1" s="1"/>
  <c r="C39" i="1" s="1"/>
  <c r="C51" i="1" s="1"/>
  <c r="C63" i="1" s="1"/>
  <c r="C75" i="1" s="1"/>
  <c r="C87" i="1" s="1"/>
  <c r="C99" i="1" s="1"/>
  <c r="C111" i="1" s="1"/>
  <c r="C123" i="1" s="1"/>
  <c r="C135" i="1" s="1"/>
  <c r="C147" i="1" s="1"/>
  <c r="C159" i="1" s="1"/>
  <c r="C171" i="1" s="1"/>
  <c r="C183" i="1" s="1"/>
  <c r="C14" i="1"/>
  <c r="C26" i="1" s="1"/>
  <c r="C38" i="1" s="1"/>
  <c r="C50" i="1" s="1"/>
  <c r="C62" i="1" s="1"/>
  <c r="C74" i="1" s="1"/>
  <c r="C86" i="1" s="1"/>
  <c r="C98" i="1" s="1"/>
  <c r="C110" i="1" s="1"/>
  <c r="C122" i="1" s="1"/>
  <c r="C134" i="1" s="1"/>
  <c r="C146" i="1" s="1"/>
  <c r="C158" i="1" s="1"/>
  <c r="C170" i="1" s="1"/>
  <c r="C18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</calcChain>
</file>

<file path=xl/sharedStrings.xml><?xml version="1.0" encoding="utf-8"?>
<sst xmlns="http://schemas.openxmlformats.org/spreadsheetml/2006/main" count="412" uniqueCount="216">
  <si>
    <t>Slot</t>
  </si>
  <si>
    <t>Pick #</t>
  </si>
  <si>
    <t>Round</t>
  </si>
  <si>
    <t>Pick</t>
  </si>
  <si>
    <t>Position</t>
  </si>
  <si>
    <t>Player</t>
  </si>
  <si>
    <t>Price</t>
  </si>
  <si>
    <t>Team</t>
  </si>
  <si>
    <t>Christian McCaffrey (SF - RB)</t>
  </si>
  <si>
    <t>Sir Phobos</t>
  </si>
  <si>
    <t>Tyreek Hill (Mia - WR)</t>
  </si>
  <si>
    <t>Lev Bell’s Room...</t>
  </si>
  <si>
    <t>CeeDee Lamb (Dal - WR)</t>
  </si>
  <si>
    <t>Stars and Scrubs</t>
  </si>
  <si>
    <t>Breece Hall (NYJ - RB)</t>
  </si>
  <si>
    <t>Kempton's Alt Right</t>
  </si>
  <si>
    <t>Justin Jefferson (Min - WR)</t>
  </si>
  <si>
    <t>Jamie's Team</t>
  </si>
  <si>
    <t>Ja'Marr Chase (Cin - WR)</t>
  </si>
  <si>
    <t>All up to Luck</t>
  </si>
  <si>
    <t>Bijan Robinson (Atl - RB)</t>
  </si>
  <si>
    <t>WR</t>
  </si>
  <si>
    <t>Amon-Ra St. Brown (Det - WR)</t>
  </si>
  <si>
    <t>A.J. Brown (Phi - WR)</t>
  </si>
  <si>
    <t>Daniel's Dandy Team</t>
  </si>
  <si>
    <t>Jonathan Taylor (Ind - RB)</t>
  </si>
  <si>
    <t>Garrett Wilson (NYJ - WR)</t>
  </si>
  <si>
    <t>Saquon Barkley (Phi - RB)</t>
  </si>
  <si>
    <t>My Dixie Wrecked</t>
  </si>
  <si>
    <t>Derrick Henry (Bal - RB)</t>
  </si>
  <si>
    <t>Puka Nacua (LAR - WR)</t>
  </si>
  <si>
    <t>Get into my Van J...</t>
  </si>
  <si>
    <t>Kyren Williams (LAR - RB)</t>
  </si>
  <si>
    <t>RB</t>
  </si>
  <si>
    <t>Travis Etienne Jr. (Jax - RB)</t>
  </si>
  <si>
    <t>Jahmyr Gibbs (Det - RB)</t>
  </si>
  <si>
    <t>Marvin Harrison Jr. (Ari - WR)</t>
  </si>
  <si>
    <t>Cooper Kupp (LAR - WR)</t>
  </si>
  <si>
    <t>Isiah Pacheco (KC - RB)</t>
  </si>
  <si>
    <t>De'Von Achane (Mia - RB)</t>
  </si>
  <si>
    <t>Banks</t>
  </si>
  <si>
    <t>Davante Adams (LV - WR)</t>
  </si>
  <si>
    <t>Pooky and the Pum...</t>
  </si>
  <si>
    <t>Jalen Hurts (Phi - QB)</t>
  </si>
  <si>
    <t>Brandon Aiyuk (SF - WR)</t>
  </si>
  <si>
    <t>Mike Evans (TB - WR)</t>
  </si>
  <si>
    <t>Drake London (Atl - WR)</t>
  </si>
  <si>
    <t>Josh Jacobs (GB - RB)</t>
  </si>
  <si>
    <t>Josh Allen (Buf - QB)</t>
  </si>
  <si>
    <t>Nico Collins (Hou - WR)</t>
  </si>
  <si>
    <t>Johnny Football Face</t>
  </si>
  <si>
    <t>Sam LaPorta (Det - TE)</t>
  </si>
  <si>
    <t>Chris Olave (NO - WR)</t>
  </si>
  <si>
    <t>Travis Kelce (KC - TE)</t>
  </si>
  <si>
    <t>James Cook (Buf - RB)</t>
  </si>
  <si>
    <t>Joe Mixon (Hou - RB)</t>
  </si>
  <si>
    <t>Kenneth Walker III (Sea - RB)</t>
  </si>
  <si>
    <t>Deebo Samuel Sr. (SF - WR)</t>
  </si>
  <si>
    <t>DK Metcalf (Sea - WR)</t>
  </si>
  <si>
    <t>Rachaad White (TB - RB)</t>
  </si>
  <si>
    <t>DeVonta Smith (Phi - WR)</t>
  </si>
  <si>
    <t>Malik Nabers (NYG - WR)</t>
  </si>
  <si>
    <t>Stefon Diggs (Hou - WR)</t>
  </si>
  <si>
    <t>Amari Cooper (Cle - WR)</t>
  </si>
  <si>
    <t>Patrick Mahomes (KC - QB)</t>
  </si>
  <si>
    <t>Lamar Jackson (Bal - QB)</t>
  </si>
  <si>
    <t>DJ Moore (Chi - WR)</t>
  </si>
  <si>
    <t>Jaylen Waddle (Mia - WR)</t>
  </si>
  <si>
    <t>James Conner (Ari - RB)</t>
  </si>
  <si>
    <t>Trey McBride (Ari - TE)</t>
  </si>
  <si>
    <t>Kyler Murray (Ari - QB)</t>
  </si>
  <si>
    <t>Alvin Kamara (NO - RB)</t>
  </si>
  <si>
    <t>Michael Pittman Jr. (Ind - WR)</t>
  </si>
  <si>
    <t>C.J. Stroud (Hou - QB)</t>
  </si>
  <si>
    <t>Tank Dell (Hou - WR)</t>
  </si>
  <si>
    <t>Mark Andrews (Bal - TE)</t>
  </si>
  <si>
    <t>George Pickens (Pit - WR)</t>
  </si>
  <si>
    <t>Tee Higgins (Cin - WR)</t>
  </si>
  <si>
    <t>Rashee Rice (KC - WR)</t>
  </si>
  <si>
    <t>Terry McLaurin (Was - WR)</t>
  </si>
  <si>
    <t>Calvin Ridley (Ten - WR)</t>
  </si>
  <si>
    <t>Jayden Reed (GB - WR)</t>
  </si>
  <si>
    <t>D'Andre Swift (Chi - RB)</t>
  </si>
  <si>
    <t>Tua Tagovailoa (Mia - QB)</t>
  </si>
  <si>
    <t>Joe Burrow (Cin - QB)</t>
  </si>
  <si>
    <t>Dak Prescott (Dal - QB)</t>
  </si>
  <si>
    <t>Anthony Richardson (Ind - QB)</t>
  </si>
  <si>
    <t>David Montgomery (Det - RB)</t>
  </si>
  <si>
    <t>George Kittle (SF - TE)</t>
  </si>
  <si>
    <t>Zay Flowers (Bal - WR)</t>
  </si>
  <si>
    <t>DeAndre Hopkins (Ten - WR)</t>
  </si>
  <si>
    <t>Diontae Johnson (Car - WR)</t>
  </si>
  <si>
    <t>Jakobi Meyers (LV - WR)</t>
  </si>
  <si>
    <t>Aaron Jones (Min - RB)</t>
  </si>
  <si>
    <t>Raheem Mostert (Mia - RB)</t>
  </si>
  <si>
    <t>Keenan Allen (Chi - WR)</t>
  </si>
  <si>
    <t>Rhamondre Stevenson (NE - RB)</t>
  </si>
  <si>
    <t>Jordan Love (GB - QB)</t>
  </si>
  <si>
    <t>Zamir White (LV - RB)</t>
  </si>
  <si>
    <t>Christian Kirk (Jax - WR)</t>
  </si>
  <si>
    <t>Chris Godwin (TB - WR)</t>
  </si>
  <si>
    <t>J.K. Dobbins (LAC - RB)</t>
  </si>
  <si>
    <t>Joshua Karty (LAR - K)</t>
  </si>
  <si>
    <t>TE</t>
  </si>
  <si>
    <t>Taysom Hill (NO - QB,TE)</t>
  </si>
  <si>
    <t>Dalton Kincaid (Buf - TE)</t>
  </si>
  <si>
    <t>Tyjae Spears (Ten - RB)</t>
  </si>
  <si>
    <t>Najee Harris (Pit - RB)</t>
  </si>
  <si>
    <t>Javonte Williams (Den - RB)</t>
  </si>
  <si>
    <t>Evan Engram (Jax - TE)</t>
  </si>
  <si>
    <t>Caleb Williams (Chi - QB)</t>
  </si>
  <si>
    <t>Jerome Ford (Cle - RB)</t>
  </si>
  <si>
    <t>Khalil Shakir (Buf - WR)</t>
  </si>
  <si>
    <t>Jonathon Brooks (Car - RB)</t>
  </si>
  <si>
    <t>Jaxon Smith-Njigba (Sea - WR)</t>
  </si>
  <si>
    <t>Nick Chubb (Cle - RB)</t>
  </si>
  <si>
    <t>Tyler Lockett (Sea - WR)</t>
  </si>
  <si>
    <t>Kyle Pitts (Atl - TE)</t>
  </si>
  <si>
    <t>Courtland Sutton (Den - WR)</t>
  </si>
  <si>
    <t>Brian Robinson Jr. (Was - RB)</t>
  </si>
  <si>
    <t>Brock Purdy (SF - QB)</t>
  </si>
  <si>
    <t>Austin Ekeler (Was - RB)</t>
  </si>
  <si>
    <t>Jaylen Warren (Pit - RB)</t>
  </si>
  <si>
    <t>Chase Brown (Cin - RB)</t>
  </si>
  <si>
    <t>Rome Odunze (Chi - WR)</t>
  </si>
  <si>
    <t>Jake Ferguson (Dal - TE)</t>
  </si>
  <si>
    <t>Justin Tucker (Bal - K)</t>
  </si>
  <si>
    <t>Tony Pollard (Ten - RB)</t>
  </si>
  <si>
    <t>San Francisco (SF - DEF)</t>
  </si>
  <si>
    <t>Devin Singletary (NYG - RB)</t>
  </si>
  <si>
    <t>Dallas Goedert (Phi - TE)</t>
  </si>
  <si>
    <t>Romeo Doubs (GB - WR)</t>
  </si>
  <si>
    <t>New York (NYJ - DEF)</t>
  </si>
  <si>
    <t>Matthew Stafford (LAR - QB)</t>
  </si>
  <si>
    <t>Ezekiel Elliott (Dal - RB)</t>
  </si>
  <si>
    <t>Jayden Daniels (Was - QB)</t>
  </si>
  <si>
    <t>Curtis Samuel (Buf - WR)</t>
  </si>
  <si>
    <t>Zack Moss (Cin - RB)</t>
  </si>
  <si>
    <t>David Njoku (Cle - TE)</t>
  </si>
  <si>
    <t>Zach Charbonnet (Sea - RB)</t>
  </si>
  <si>
    <t>Kirk Cousins (Atl - QB)</t>
  </si>
  <si>
    <t>Jaleel McLaughlin (Den - RB)</t>
  </si>
  <si>
    <t>Jameson Williams (Det - WR)</t>
  </si>
  <si>
    <t>Chuba Hubbard (Car - RB)</t>
  </si>
  <si>
    <t>Brian Thomas Jr. (Jax - WR)</t>
  </si>
  <si>
    <t>Adonai Mitchell (Ind - WR)</t>
  </si>
  <si>
    <t>T.J. Hockenson (Min - TE)</t>
  </si>
  <si>
    <t>DEF</t>
  </si>
  <si>
    <t>Dallas (Dal - DEF)</t>
  </si>
  <si>
    <t>Detroit (Det - DEF)</t>
  </si>
  <si>
    <t>Pat Freiermuth (Pit - TE)</t>
  </si>
  <si>
    <t>Brandon Aubrey (Dal - K)</t>
  </si>
  <si>
    <t>Buffalo (Buf - DEF)</t>
  </si>
  <si>
    <t>Baltimore (Bal - DEF)</t>
  </si>
  <si>
    <t>Harrison Butker (KC - K)</t>
  </si>
  <si>
    <t>Cincinnati (Cin - DEF)</t>
  </si>
  <si>
    <t>Younghoe Koo (Atl - K)</t>
  </si>
  <si>
    <t>Gus Edwards (LAC - RB)</t>
  </si>
  <si>
    <t>Ladd McConkey (LAC - WR)</t>
  </si>
  <si>
    <t>Christian Watson (GB - WR)</t>
  </si>
  <si>
    <t>Zay Jones (Ari - WR)</t>
  </si>
  <si>
    <t>Trey Benson (Ari - RB)</t>
  </si>
  <si>
    <t>Dalton Schultz (Hou - TE)</t>
  </si>
  <si>
    <t>Blake Corum (LAR - RB)</t>
  </si>
  <si>
    <t>Rico Dowdle (Dal - RB)</t>
  </si>
  <si>
    <t>Adam Thielen (Car - WR)</t>
  </si>
  <si>
    <t>Brock Bowers (LV - TE)</t>
  </si>
  <si>
    <t>Xavier Worthy (KC - WR)</t>
  </si>
  <si>
    <t>Jordan Addison (Min - WR)</t>
  </si>
  <si>
    <t>Dontayvion Wicks (GB - WR)</t>
  </si>
  <si>
    <t>Chicago (Chi - DEF)</t>
  </si>
  <si>
    <t>Miami (Mia - DEF)</t>
  </si>
  <si>
    <t>Ronnie Bell (SF - WR)</t>
  </si>
  <si>
    <t>Jake Moody (SF - K)</t>
  </si>
  <si>
    <t>Jason Sanders (Mia - K)</t>
  </si>
  <si>
    <t>Seattle (Sea - DEF)</t>
  </si>
  <si>
    <t>Evan McPherson (Cin - K)</t>
  </si>
  <si>
    <t>Ka'imi Fairbairn (Hou - K)</t>
  </si>
  <si>
    <t>Jake Elliott (Phi - K)</t>
  </si>
  <si>
    <t>Cleveland (Cle - DEF)</t>
  </si>
  <si>
    <t>Chris Boswell (Pit - K)</t>
  </si>
  <si>
    <t>Kansas City (KC - DEF)</t>
  </si>
  <si>
    <t>Daniel Jones (NYG - QB)</t>
  </si>
  <si>
    <t>Cairo Santos (Chi - K)</t>
  </si>
  <si>
    <t>Jonnu Smith (Mia - TE)</t>
  </si>
  <si>
    <t>Jahan Dotson (Phi - WR)</t>
  </si>
  <si>
    <t>Jared Goff (Det - QB)</t>
  </si>
  <si>
    <t>Cole Kmet (Chi - TE)</t>
  </si>
  <si>
    <t>Antonio Gibson (NE - RB)</t>
  </si>
  <si>
    <t>Jaylen Wright (Mia - RB)</t>
  </si>
  <si>
    <t>Justin Herbert (LAC - QB)</t>
  </si>
  <si>
    <t>Joshua Palmer (LAC - WR)</t>
  </si>
  <si>
    <t>Khalil Herbert (Chi - RB)</t>
  </si>
  <si>
    <t>Tyler Boyd (Ten - WR)</t>
  </si>
  <si>
    <t>Trevor Lawrence (Jax - QB)</t>
  </si>
  <si>
    <t>D'Onta Foreman (Cle - RB)</t>
  </si>
  <si>
    <t>Odell Beckham Jr. (Mia - WR)</t>
  </si>
  <si>
    <t>Bucky Irving (TB - RB)</t>
  </si>
  <si>
    <t>Pittsburgh (Pit - DEF)</t>
  </si>
  <si>
    <t>Jamaal Williams (NO - RB)</t>
  </si>
  <si>
    <t>Brandin Cooks (Dal - WR)</t>
  </si>
  <si>
    <t>Jordan Mason (SF - RB)</t>
  </si>
  <si>
    <t>Tyler Bass (Buf - K)</t>
  </si>
  <si>
    <t>Keon Coleman (Buf - WR)</t>
  </si>
  <si>
    <t>Gabe Davis (Jax - WR)</t>
  </si>
  <si>
    <t>Aaron Rodgers (NYJ - QB)</t>
  </si>
  <si>
    <t>Ray Davis (Buf - RB)</t>
  </si>
  <si>
    <t>Hollywood Brown (KC - WR)</t>
  </si>
  <si>
    <t>Hunter Henry (NE - TE)</t>
  </si>
  <si>
    <t>Rashid Shaheed (NO - WR)</t>
  </si>
  <si>
    <t>Luke Musgrave (GB - TE)</t>
  </si>
  <si>
    <t>Clyde Edwards-Helaire (KC - RB)</t>
  </si>
  <si>
    <t>Geno Smith (Sea - QB)</t>
  </si>
  <si>
    <t>Ty Chandler (Min - RB)</t>
  </si>
  <si>
    <t>Minnesota (Min - DEF)</t>
  </si>
  <si>
    <t>Dustin Hopkins (Cle - 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</si>
</sst>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32A31"/>
      <name val="YahooSans VF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232A31"/>
      </left>
      <right/>
      <top style="thin">
        <color rgb="FF232A31"/>
      </top>
      <bottom style="thin">
        <color auto="1"/>
      </bottom>
      <diagonal/>
    </border>
    <border>
      <left/>
      <right/>
      <top style="thin">
        <color rgb="FF232A31"/>
      </top>
      <bottom style="thin">
        <color auto="1"/>
      </bottom>
      <diagonal/>
    </border>
    <border>
      <left/>
      <right style="thin">
        <color rgb="FF232A31"/>
      </right>
      <top style="thin">
        <color rgb="FF232A31"/>
      </top>
      <bottom style="thin">
        <color auto="1"/>
      </bottom>
      <diagonal/>
    </border>
    <border>
      <left style="thin">
        <color rgb="FF232A3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232A31"/>
      </right>
      <top/>
      <bottom style="thin">
        <color auto="1"/>
      </bottom>
      <diagonal/>
    </border>
    <border>
      <left style="thin">
        <color rgb="FF232A31"/>
      </left>
      <right/>
      <top/>
      <bottom/>
      <diagonal/>
    </border>
    <border>
      <left/>
      <right style="thin">
        <color rgb="FF232A3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2" xfId="1" applyFill="1" applyBorder="1" applyAlignment="1">
      <alignment wrapText="1"/>
    </xf>
    <xf numFmtId="6" fontId="2" fillId="2" borderId="2" xfId="0" applyNumberFormat="1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2" borderId="5" xfId="1" applyFill="1" applyBorder="1" applyAlignment="1">
      <alignment wrapText="1"/>
    </xf>
    <xf numFmtId="6" fontId="2" fillId="2" borderId="5" xfId="0" applyNumberFormat="1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1" fillId="2" borderId="0" xfId="1" applyFill="1" applyBorder="1" applyAlignment="1">
      <alignment wrapText="1"/>
    </xf>
    <xf numFmtId="6" fontId="2" fillId="2" borderId="0" xfId="0" applyNumberFormat="1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2A31"/>
        <name val="YahooSans VF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232A3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2A31"/>
        <name val="YahooSans VF"/>
        <charset val="1"/>
        <scheme val="none"/>
      </font>
      <numFmt numFmtId="10" formatCode="&quot;$&quot;#,##0_);[Red]\(&quot;$&quot;#,##0\)"/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2A31"/>
        <name val="YahooSans VF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2A31"/>
        <name val="YahooSans VF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232A31"/>
        </left>
        <right/>
        <top/>
        <bottom style="thin">
          <color auto="1"/>
        </bottom>
        <vertical/>
        <horizontal/>
      </border>
    </dxf>
    <dxf>
      <border outline="0">
        <bottom style="thin">
          <color rgb="FF232A31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0DDE6-2624-404D-8A0A-ACA358D9C841}" name="Table2" displayName="Table2" ref="A1:H193" totalsRowShown="0" tableBorderDxfId="7">
  <autoFilter ref="A1:H193" xr:uid="{D6A0DDE6-2624-404D-8A0A-ACA358D9C841}"/>
  <sortState xmlns:xlrd2="http://schemas.microsoft.com/office/spreadsheetml/2017/richdata2" ref="A2:H193">
    <sortCondition ref="E1:E193"/>
  </sortState>
  <tableColumns count="8">
    <tableColumn id="1" xr3:uid="{850E404D-D34A-4CBF-891C-146F0F19C975}" name="Slot" dataDxfId="6"/>
    <tableColumn id="5" xr3:uid="{CCDD5BAD-FE3F-461E-9D0F-109762CD4884}" name="Pick #" dataDxfId="5"/>
    <tableColumn id="7" xr3:uid="{1638ADB4-873C-43F4-B3E9-8DFFA666923D}" name="Round"/>
    <tableColumn id="8" xr3:uid="{7160662A-847B-4D55-9103-F7A19B2A9AB4}" name="Pick" dataDxfId="4"/>
    <tableColumn id="9" xr3:uid="{B5583763-7C91-4F57-9F87-591B14E74624}" name="Position" dataDxfId="3">
      <calculatedColumnFormula>MID(LEFT(Table2[[#This Row],[Player]], FIND(")", Table2[[#This Row],[Player]]) - 1), FIND("{token}", SUBSTITUTE(Table2[[#This Row],[Player]], " ", "{token}", 3)) + 1, LEN(Table2[[#This Row],[Player]]))</calculatedColumnFormula>
    </tableColumn>
    <tableColumn id="2" xr3:uid="{51A748B4-2A09-40E3-8129-E8EFA7F10F86}" name="Player" dataDxfId="2" dataCellStyle="Hyperlink"/>
    <tableColumn id="3" xr3:uid="{89FE9BE9-D2C9-4D35-8D86-BC142C4E3951}" name="Price" dataDxfId="1"/>
    <tableColumn id="4" xr3:uid="{437606CC-89AA-4D71-A37E-836441E590D9}" name="Tea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orts.yahoo.com/nfl/players/27535" TargetMode="External"/><Relationship Id="rId21" Type="http://schemas.openxmlformats.org/officeDocument/2006/relationships/hyperlink" Target="https://sports.yahoo.com/nfl/players/30247" TargetMode="External"/><Relationship Id="rId42" Type="http://schemas.openxmlformats.org/officeDocument/2006/relationships/hyperlink" Target="https://sports.yahoo.com/nfl/players/40962" TargetMode="External"/><Relationship Id="rId63" Type="http://schemas.openxmlformats.org/officeDocument/2006/relationships/hyperlink" Target="https://sports.yahoo.com/nfl/players/32756" TargetMode="External"/><Relationship Id="rId84" Type="http://schemas.openxmlformats.org/officeDocument/2006/relationships/hyperlink" Target="https://sports.yahoo.com/nfl/players/40900" TargetMode="External"/><Relationship Id="rId138" Type="http://schemas.openxmlformats.org/officeDocument/2006/relationships/hyperlink" Target="https://sports.yahoo.com/nfl/players/27581" TargetMode="External"/><Relationship Id="rId159" Type="http://schemas.openxmlformats.org/officeDocument/2006/relationships/hyperlink" Target="https://sports.yahoo.com/nfl/players/33965" TargetMode="External"/><Relationship Id="rId170" Type="http://schemas.openxmlformats.org/officeDocument/2006/relationships/hyperlink" Target="https://sports.yahoo.com/nfl/players/40055" TargetMode="External"/><Relationship Id="rId191" Type="http://schemas.openxmlformats.org/officeDocument/2006/relationships/hyperlink" Target="https://sports.yahoo.com/nfl/players/33413" TargetMode="External"/><Relationship Id="rId107" Type="http://schemas.openxmlformats.org/officeDocument/2006/relationships/hyperlink" Target="https://sports.yahoo.com/nfl/players/29792" TargetMode="External"/><Relationship Id="rId11" Type="http://schemas.openxmlformats.org/officeDocument/2006/relationships/hyperlink" Target="https://sports.yahoo.com/nfl/players/31857" TargetMode="External"/><Relationship Id="rId32" Type="http://schemas.openxmlformats.org/officeDocument/2006/relationships/hyperlink" Target="https://sports.yahoo.com/nfl/players/33605" TargetMode="External"/><Relationship Id="rId53" Type="http://schemas.openxmlformats.org/officeDocument/2006/relationships/hyperlink" Target="https://sports.yahoo.com/nfl/players/40075" TargetMode="External"/><Relationship Id="rId74" Type="http://schemas.openxmlformats.org/officeDocument/2006/relationships/hyperlink" Target="https://sports.yahoo.com/nfl/players/40196" TargetMode="External"/><Relationship Id="rId128" Type="http://schemas.openxmlformats.org/officeDocument/2006/relationships/hyperlink" Target="https://sports.yahoo.com/nfl/players/40040" TargetMode="External"/><Relationship Id="rId149" Type="http://schemas.openxmlformats.org/officeDocument/2006/relationships/hyperlink" Target="https://sports.yahoo.com/nfl/players/32695" TargetMode="External"/><Relationship Id="rId5" Type="http://schemas.openxmlformats.org/officeDocument/2006/relationships/hyperlink" Target="https://sports.yahoo.com/nfl/players/40201" TargetMode="External"/><Relationship Id="rId95" Type="http://schemas.openxmlformats.org/officeDocument/2006/relationships/hyperlink" Target="https://sports.yahoo.com/nfl/teams/cleveland/" TargetMode="External"/><Relationship Id="rId160" Type="http://schemas.openxmlformats.org/officeDocument/2006/relationships/hyperlink" Target="https://sports.yahoo.com/nfl/teams/chicago/" TargetMode="External"/><Relationship Id="rId181" Type="http://schemas.openxmlformats.org/officeDocument/2006/relationships/hyperlink" Target="https://sports.yahoo.com/nfl/players/33443" TargetMode="External"/><Relationship Id="rId22" Type="http://schemas.openxmlformats.org/officeDocument/2006/relationships/hyperlink" Target="https://sports.yahoo.com/nfl/players/40915" TargetMode="External"/><Relationship Id="rId43" Type="http://schemas.openxmlformats.org/officeDocument/2006/relationships/hyperlink" Target="https://sports.yahoo.com/nfl/players/31107" TargetMode="External"/><Relationship Id="rId64" Type="http://schemas.openxmlformats.org/officeDocument/2006/relationships/hyperlink" Target="https://sports.yahoo.com/nfl/players/34085" TargetMode="External"/><Relationship Id="rId118" Type="http://schemas.openxmlformats.org/officeDocument/2006/relationships/hyperlink" Target="https://sports.yahoo.com/nfl/players/30295" TargetMode="External"/><Relationship Id="rId139" Type="http://schemas.openxmlformats.org/officeDocument/2006/relationships/hyperlink" Target="https://sports.yahoo.com/nfl/players/30346" TargetMode="External"/><Relationship Id="rId85" Type="http://schemas.openxmlformats.org/officeDocument/2006/relationships/hyperlink" Target="https://sports.yahoo.com/nfl/players/28188" TargetMode="External"/><Relationship Id="rId150" Type="http://schemas.openxmlformats.org/officeDocument/2006/relationships/hyperlink" Target="https://sports.yahoo.com/nfl/players/31833" TargetMode="External"/><Relationship Id="rId171" Type="http://schemas.openxmlformats.org/officeDocument/2006/relationships/hyperlink" Target="https://sports.yahoo.com/nfl/players/29399" TargetMode="External"/><Relationship Id="rId192" Type="http://schemas.openxmlformats.org/officeDocument/2006/relationships/hyperlink" Target="https://sports.yahoo.com/nfl/teams/dallas/" TargetMode="External"/><Relationship Id="rId12" Type="http://schemas.openxmlformats.org/officeDocument/2006/relationships/hyperlink" Target="https://sports.yahoo.com/nfl/players/40980" TargetMode="External"/><Relationship Id="rId33" Type="http://schemas.openxmlformats.org/officeDocument/2006/relationships/hyperlink" Target="https://sports.yahoo.com/nfl/players/33514" TargetMode="External"/><Relationship Id="rId108" Type="http://schemas.openxmlformats.org/officeDocument/2006/relationships/hyperlink" Target="https://sports.yahoo.com/nfl/players/30426" TargetMode="External"/><Relationship Id="rId129" Type="http://schemas.openxmlformats.org/officeDocument/2006/relationships/hyperlink" Target="https://sports.yahoo.com/nfl/players/40279" TargetMode="External"/><Relationship Id="rId54" Type="http://schemas.openxmlformats.org/officeDocument/2006/relationships/hyperlink" Target="https://sports.yahoo.com/nfl/players/33971" TargetMode="External"/><Relationship Id="rId75" Type="http://schemas.openxmlformats.org/officeDocument/2006/relationships/hyperlink" Target="https://sports.yahoo.com/nfl/players/34447" TargetMode="External"/><Relationship Id="rId96" Type="http://schemas.openxmlformats.org/officeDocument/2006/relationships/hyperlink" Target="https://sports.yahoo.com/nfl/players/31005" TargetMode="External"/><Relationship Id="rId140" Type="http://schemas.openxmlformats.org/officeDocument/2006/relationships/hyperlink" Target="https://sports.yahoo.com/nfl/players/30994" TargetMode="External"/><Relationship Id="rId161" Type="http://schemas.openxmlformats.org/officeDocument/2006/relationships/hyperlink" Target="https://sports.yahoo.com/nfl/players/40893" TargetMode="External"/><Relationship Id="rId182" Type="http://schemas.openxmlformats.org/officeDocument/2006/relationships/hyperlink" Target="https://sports.yahoo.com/nfl/players/33991" TargetMode="External"/><Relationship Id="rId6" Type="http://schemas.openxmlformats.org/officeDocument/2006/relationships/hyperlink" Target="https://sports.yahoo.com/nfl/players/32702" TargetMode="External"/><Relationship Id="rId23" Type="http://schemas.openxmlformats.org/officeDocument/2006/relationships/hyperlink" Target="https://sports.yahoo.com/nfl/players/40042" TargetMode="External"/><Relationship Id="rId119" Type="http://schemas.openxmlformats.org/officeDocument/2006/relationships/hyperlink" Target="https://sports.yahoo.com/nfl/players/34007" TargetMode="External"/><Relationship Id="rId44" Type="http://schemas.openxmlformats.org/officeDocument/2006/relationships/hyperlink" Target="https://sports.yahoo.com/nfl/players/40958" TargetMode="External"/><Relationship Id="rId65" Type="http://schemas.openxmlformats.org/officeDocument/2006/relationships/hyperlink" Target="https://sports.yahoo.com/nfl/players/30153" TargetMode="External"/><Relationship Id="rId86" Type="http://schemas.openxmlformats.org/officeDocument/2006/relationships/hyperlink" Target="https://sports.yahoo.com/nfl/players/34054" TargetMode="External"/><Relationship Id="rId130" Type="http://schemas.openxmlformats.org/officeDocument/2006/relationships/hyperlink" Target="https://sports.yahoo.com/nfl/players/33996" TargetMode="External"/><Relationship Id="rId151" Type="http://schemas.openxmlformats.org/officeDocument/2006/relationships/hyperlink" Target="https://sports.yahoo.com/nfl/players/28392" TargetMode="External"/><Relationship Id="rId172" Type="http://schemas.openxmlformats.org/officeDocument/2006/relationships/hyperlink" Target="https://sports.yahoo.com/nfl/teams/buffalo/" TargetMode="External"/><Relationship Id="rId193" Type="http://schemas.openxmlformats.org/officeDocument/2006/relationships/table" Target="../tables/table1.xml"/><Relationship Id="rId13" Type="http://schemas.openxmlformats.org/officeDocument/2006/relationships/hyperlink" Target="https://sports.yahoo.com/nfl/players/7200" TargetMode="External"/><Relationship Id="rId109" Type="http://schemas.openxmlformats.org/officeDocument/2006/relationships/hyperlink" Target="https://sports.yahoo.com/nfl/players/40119" TargetMode="External"/><Relationship Id="rId34" Type="http://schemas.openxmlformats.org/officeDocument/2006/relationships/hyperlink" Target="https://sports.yahoo.com/nfl/players/32231" TargetMode="External"/><Relationship Id="rId50" Type="http://schemas.openxmlformats.org/officeDocument/2006/relationships/hyperlink" Target="https://sports.yahoo.com/nfl/players/40926" TargetMode="External"/><Relationship Id="rId55" Type="http://schemas.openxmlformats.org/officeDocument/2006/relationships/hyperlink" Target="https://sports.yahoo.com/nfl/players/34104" TargetMode="External"/><Relationship Id="rId76" Type="http://schemas.openxmlformats.org/officeDocument/2006/relationships/hyperlink" Target="https://sports.yahoo.com/nfl/players/34088" TargetMode="External"/><Relationship Id="rId97" Type="http://schemas.openxmlformats.org/officeDocument/2006/relationships/hyperlink" Target="https://sports.yahoo.com/nfl/players/40041" TargetMode="External"/><Relationship Id="rId104" Type="http://schemas.openxmlformats.org/officeDocument/2006/relationships/hyperlink" Target="https://sports.yahoo.com/nfl/players/34078" TargetMode="External"/><Relationship Id="rId120" Type="http://schemas.openxmlformats.org/officeDocument/2006/relationships/hyperlink" Target="https://sports.yahoo.com/nfl/players/30182" TargetMode="External"/><Relationship Id="rId125" Type="http://schemas.openxmlformats.org/officeDocument/2006/relationships/hyperlink" Target="https://sports.yahoo.com/nfl/players/33966" TargetMode="External"/><Relationship Id="rId141" Type="http://schemas.openxmlformats.org/officeDocument/2006/relationships/hyperlink" Target="https://sports.yahoo.com/nfl/players/40097" TargetMode="External"/><Relationship Id="rId146" Type="http://schemas.openxmlformats.org/officeDocument/2006/relationships/hyperlink" Target="https://sports.yahoo.com/nfl/players/31002" TargetMode="External"/><Relationship Id="rId167" Type="http://schemas.openxmlformats.org/officeDocument/2006/relationships/hyperlink" Target="https://sports.yahoo.com/nfl/players/32692" TargetMode="External"/><Relationship Id="rId188" Type="http://schemas.openxmlformats.org/officeDocument/2006/relationships/hyperlink" Target="https://sports.yahoo.com/nfl/players/31883" TargetMode="External"/><Relationship Id="rId7" Type="http://schemas.openxmlformats.org/officeDocument/2006/relationships/hyperlink" Target="https://sports.yahoo.com/nfl/players/40074" TargetMode="External"/><Relationship Id="rId71" Type="http://schemas.openxmlformats.org/officeDocument/2006/relationships/hyperlink" Target="https://sports.yahoo.com/nfl/players/40901" TargetMode="External"/><Relationship Id="rId92" Type="http://schemas.openxmlformats.org/officeDocument/2006/relationships/hyperlink" Target="https://sports.yahoo.com/nfl/players/30197" TargetMode="External"/><Relationship Id="rId162" Type="http://schemas.openxmlformats.org/officeDocument/2006/relationships/hyperlink" Target="https://sports.yahoo.com/nfl/players/26686" TargetMode="External"/><Relationship Id="rId183" Type="http://schemas.openxmlformats.org/officeDocument/2006/relationships/hyperlink" Target="https://sports.yahoo.com/nfl/players/33393" TargetMode="External"/><Relationship Id="rId2" Type="http://schemas.openxmlformats.org/officeDocument/2006/relationships/hyperlink" Target="https://sports.yahoo.com/nfl/teams/minnesota/" TargetMode="External"/><Relationship Id="rId29" Type="http://schemas.openxmlformats.org/officeDocument/2006/relationships/hyperlink" Target="https://sports.yahoo.com/nfl/players/29288" TargetMode="External"/><Relationship Id="rId24" Type="http://schemas.openxmlformats.org/officeDocument/2006/relationships/hyperlink" Target="https://sports.yahoo.com/nfl/teams/pittsburgh/" TargetMode="External"/><Relationship Id="rId40" Type="http://schemas.openxmlformats.org/officeDocument/2006/relationships/hyperlink" Target="https://sports.yahoo.com/nfl/players/32736" TargetMode="External"/><Relationship Id="rId45" Type="http://schemas.openxmlformats.org/officeDocument/2006/relationships/hyperlink" Target="https://sports.yahoo.com/nfl/players/30150" TargetMode="External"/><Relationship Id="rId66" Type="http://schemas.openxmlformats.org/officeDocument/2006/relationships/hyperlink" Target="https://sports.yahoo.com/nfl/players/26650" TargetMode="External"/><Relationship Id="rId87" Type="http://schemas.openxmlformats.org/officeDocument/2006/relationships/hyperlink" Target="https://sports.yahoo.com/nfl/players/30996" TargetMode="External"/><Relationship Id="rId110" Type="http://schemas.openxmlformats.org/officeDocument/2006/relationships/hyperlink" Target="https://sports.yahoo.com/nfl/players/40048" TargetMode="External"/><Relationship Id="rId115" Type="http://schemas.openxmlformats.org/officeDocument/2006/relationships/hyperlink" Target="https://sports.yahoo.com/nfl/players/31868" TargetMode="External"/><Relationship Id="rId131" Type="http://schemas.openxmlformats.org/officeDocument/2006/relationships/hyperlink" Target="https://sports.yahoo.com/nfl/players/29369" TargetMode="External"/><Relationship Id="rId136" Type="http://schemas.openxmlformats.org/officeDocument/2006/relationships/hyperlink" Target="https://sports.yahoo.com/nfl/teams/miami/" TargetMode="External"/><Relationship Id="rId157" Type="http://schemas.openxmlformats.org/officeDocument/2006/relationships/hyperlink" Target="https://sports.yahoo.com/nfl/players/32705" TargetMode="External"/><Relationship Id="rId178" Type="http://schemas.openxmlformats.org/officeDocument/2006/relationships/hyperlink" Target="https://sports.yahoo.com/nfl/players/40899" TargetMode="External"/><Relationship Id="rId61" Type="http://schemas.openxmlformats.org/officeDocument/2006/relationships/hyperlink" Target="https://sports.yahoo.com/nfl/players/34112" TargetMode="External"/><Relationship Id="rId82" Type="http://schemas.openxmlformats.org/officeDocument/2006/relationships/hyperlink" Target="https://sports.yahoo.com/nfl/players/31838" TargetMode="External"/><Relationship Id="rId152" Type="http://schemas.openxmlformats.org/officeDocument/2006/relationships/hyperlink" Target="https://sports.yahoo.com/nfl/players/40118" TargetMode="External"/><Relationship Id="rId173" Type="http://schemas.openxmlformats.org/officeDocument/2006/relationships/hyperlink" Target="https://sports.yahoo.com/nfl/players/33477" TargetMode="External"/><Relationship Id="rId19" Type="http://schemas.openxmlformats.org/officeDocument/2006/relationships/hyperlink" Target="https://sports.yahoo.com/nfl/players/27548" TargetMode="External"/><Relationship Id="rId14" Type="http://schemas.openxmlformats.org/officeDocument/2006/relationships/hyperlink" Target="https://sports.yahoo.com/nfl/players/32798" TargetMode="External"/><Relationship Id="rId30" Type="http://schemas.openxmlformats.org/officeDocument/2006/relationships/hyperlink" Target="https://sports.yahoo.com/nfl/players/40883" TargetMode="External"/><Relationship Id="rId35" Type="http://schemas.openxmlformats.org/officeDocument/2006/relationships/hyperlink" Target="https://sports.yahoo.com/nfl/players/40878" TargetMode="External"/><Relationship Id="rId56" Type="http://schemas.openxmlformats.org/officeDocument/2006/relationships/hyperlink" Target="https://sports.yahoo.com/nfl/players/30142" TargetMode="External"/><Relationship Id="rId77" Type="http://schemas.openxmlformats.org/officeDocument/2006/relationships/hyperlink" Target="https://sports.yahoo.com/nfl/players/31019" TargetMode="External"/><Relationship Id="rId100" Type="http://schemas.openxmlformats.org/officeDocument/2006/relationships/hyperlink" Target="https://sports.yahoo.com/nfl/players/33412" TargetMode="External"/><Relationship Id="rId105" Type="http://schemas.openxmlformats.org/officeDocument/2006/relationships/hyperlink" Target="https://sports.yahoo.com/nfl/players/32703" TargetMode="External"/><Relationship Id="rId126" Type="http://schemas.openxmlformats.org/officeDocument/2006/relationships/hyperlink" Target="https://sports.yahoo.com/nfl/players/33398" TargetMode="External"/><Relationship Id="rId147" Type="http://schemas.openxmlformats.org/officeDocument/2006/relationships/hyperlink" Target="https://sports.yahoo.com/nfl/players/30123" TargetMode="External"/><Relationship Id="rId168" Type="http://schemas.openxmlformats.org/officeDocument/2006/relationships/hyperlink" Target="https://sports.yahoo.com/nfl/players/32711" TargetMode="External"/><Relationship Id="rId8" Type="http://schemas.openxmlformats.org/officeDocument/2006/relationships/hyperlink" Target="https://sports.yahoo.com/nfl/players/34659" TargetMode="External"/><Relationship Id="rId51" Type="http://schemas.openxmlformats.org/officeDocument/2006/relationships/hyperlink" Target="https://sports.yahoo.com/nfl/players/33989" TargetMode="External"/><Relationship Id="rId72" Type="http://schemas.openxmlformats.org/officeDocument/2006/relationships/hyperlink" Target="https://sports.yahoo.com/nfl/players/28227" TargetMode="External"/><Relationship Id="rId93" Type="http://schemas.openxmlformats.org/officeDocument/2006/relationships/hyperlink" Target="https://sports.yahoo.com/nfl/players/31017" TargetMode="External"/><Relationship Id="rId98" Type="http://schemas.openxmlformats.org/officeDocument/2006/relationships/hyperlink" Target="https://sports.yahoo.com/nfl/players/33423" TargetMode="External"/><Relationship Id="rId121" Type="http://schemas.openxmlformats.org/officeDocument/2006/relationships/hyperlink" Target="https://sports.yahoo.com/nfl/players/28654" TargetMode="External"/><Relationship Id="rId142" Type="http://schemas.openxmlformats.org/officeDocument/2006/relationships/hyperlink" Target="https://sports.yahoo.com/nfl/players/34019" TargetMode="External"/><Relationship Id="rId163" Type="http://schemas.openxmlformats.org/officeDocument/2006/relationships/hyperlink" Target="https://sports.yahoo.com/nfl/players/33963" TargetMode="External"/><Relationship Id="rId184" Type="http://schemas.openxmlformats.org/officeDocument/2006/relationships/hyperlink" Target="https://sports.yahoo.com/nfl/teams/detroit/" TargetMode="External"/><Relationship Id="rId189" Type="http://schemas.openxmlformats.org/officeDocument/2006/relationships/hyperlink" Target="https://sports.yahoo.com/nfl/players/30121" TargetMode="External"/><Relationship Id="rId3" Type="http://schemas.openxmlformats.org/officeDocument/2006/relationships/hyperlink" Target="https://sports.yahoo.com/nfl/players/34125" TargetMode="External"/><Relationship Id="rId25" Type="http://schemas.openxmlformats.org/officeDocument/2006/relationships/hyperlink" Target="https://sports.yahoo.com/nfl/players/40993" TargetMode="External"/><Relationship Id="rId46" Type="http://schemas.openxmlformats.org/officeDocument/2006/relationships/hyperlink" Target="https://sports.yahoo.com/nfl/players/32713" TargetMode="External"/><Relationship Id="rId67" Type="http://schemas.openxmlformats.org/officeDocument/2006/relationships/hyperlink" Target="https://sports.yahoo.com/nfl/players/40896" TargetMode="External"/><Relationship Id="rId116" Type="http://schemas.openxmlformats.org/officeDocument/2006/relationships/hyperlink" Target="https://sports.yahoo.com/nfl/players/30259" TargetMode="External"/><Relationship Id="rId137" Type="http://schemas.openxmlformats.org/officeDocument/2006/relationships/hyperlink" Target="https://sports.yahoo.com/nfl/players/32704" TargetMode="External"/><Relationship Id="rId158" Type="http://schemas.openxmlformats.org/officeDocument/2006/relationships/hyperlink" Target="https://sports.yahoo.com/nfl/teams/baltimore/" TargetMode="External"/><Relationship Id="rId20" Type="http://schemas.openxmlformats.org/officeDocument/2006/relationships/hyperlink" Target="https://sports.yahoo.com/nfl/players/31840" TargetMode="External"/><Relationship Id="rId41" Type="http://schemas.openxmlformats.org/officeDocument/2006/relationships/hyperlink" Target="https://sports.yahoo.com/nfl/players/33100" TargetMode="External"/><Relationship Id="rId62" Type="http://schemas.openxmlformats.org/officeDocument/2006/relationships/hyperlink" Target="https://sports.yahoo.com/nfl/players/31424" TargetMode="External"/><Relationship Id="rId83" Type="http://schemas.openxmlformats.org/officeDocument/2006/relationships/hyperlink" Target="https://sports.yahoo.com/nfl/teams/kansas-city/" TargetMode="External"/><Relationship Id="rId88" Type="http://schemas.openxmlformats.org/officeDocument/2006/relationships/hyperlink" Target="https://sports.yahoo.com/nfl/players/31010" TargetMode="External"/><Relationship Id="rId111" Type="http://schemas.openxmlformats.org/officeDocument/2006/relationships/hyperlink" Target="https://sports.yahoo.com/nfl/players/33537" TargetMode="External"/><Relationship Id="rId132" Type="http://schemas.openxmlformats.org/officeDocument/2006/relationships/hyperlink" Target="https://sports.yahoo.com/nfl/players/31056" TargetMode="External"/><Relationship Id="rId153" Type="http://schemas.openxmlformats.org/officeDocument/2006/relationships/hyperlink" Target="https://sports.yahoo.com/nfl/players/30614" TargetMode="External"/><Relationship Id="rId174" Type="http://schemas.openxmlformats.org/officeDocument/2006/relationships/hyperlink" Target="https://sports.yahoo.com/nfl/players/40168" TargetMode="External"/><Relationship Id="rId179" Type="http://schemas.openxmlformats.org/officeDocument/2006/relationships/hyperlink" Target="https://sports.yahoo.com/nfl/players/31856" TargetMode="External"/><Relationship Id="rId190" Type="http://schemas.openxmlformats.org/officeDocument/2006/relationships/hyperlink" Target="https://sports.yahoo.com/nfl/players/33500" TargetMode="External"/><Relationship Id="rId15" Type="http://schemas.openxmlformats.org/officeDocument/2006/relationships/hyperlink" Target="https://sports.yahoo.com/nfl/players/32725" TargetMode="External"/><Relationship Id="rId36" Type="http://schemas.openxmlformats.org/officeDocument/2006/relationships/hyperlink" Target="https://sports.yahoo.com/nfl/players/33465" TargetMode="External"/><Relationship Id="rId57" Type="http://schemas.openxmlformats.org/officeDocument/2006/relationships/hyperlink" Target="https://sports.yahoo.com/nfl/players/40063" TargetMode="External"/><Relationship Id="rId106" Type="http://schemas.openxmlformats.org/officeDocument/2006/relationships/hyperlink" Target="https://sports.yahoo.com/nfl/players/40039" TargetMode="External"/><Relationship Id="rId127" Type="http://schemas.openxmlformats.org/officeDocument/2006/relationships/hyperlink" Target="https://sports.yahoo.com/nfl/players/40129" TargetMode="External"/><Relationship Id="rId10" Type="http://schemas.openxmlformats.org/officeDocument/2006/relationships/hyperlink" Target="https://sports.yahoo.com/nfl/players/41081" TargetMode="External"/><Relationship Id="rId31" Type="http://schemas.openxmlformats.org/officeDocument/2006/relationships/hyperlink" Target="https://sports.yahoo.com/nfl/players/40877" TargetMode="External"/><Relationship Id="rId52" Type="http://schemas.openxmlformats.org/officeDocument/2006/relationships/hyperlink" Target="https://sports.yahoo.com/nfl/players/25812" TargetMode="External"/><Relationship Id="rId73" Type="http://schemas.openxmlformats.org/officeDocument/2006/relationships/hyperlink" Target="https://sports.yahoo.com/nfl/teams/ny-jets/" TargetMode="External"/><Relationship Id="rId78" Type="http://schemas.openxmlformats.org/officeDocument/2006/relationships/hyperlink" Target="https://sports.yahoo.com/nfl/players/30423" TargetMode="External"/><Relationship Id="rId94" Type="http://schemas.openxmlformats.org/officeDocument/2006/relationships/hyperlink" Target="https://sports.yahoo.com/nfl/players/31908" TargetMode="External"/><Relationship Id="rId99" Type="http://schemas.openxmlformats.org/officeDocument/2006/relationships/hyperlink" Target="https://sports.yahoo.com/nfl/players/33394" TargetMode="External"/><Relationship Id="rId101" Type="http://schemas.openxmlformats.org/officeDocument/2006/relationships/hyperlink" Target="https://sports.yahoo.com/nfl/players/30266" TargetMode="External"/><Relationship Id="rId122" Type="http://schemas.openxmlformats.org/officeDocument/2006/relationships/hyperlink" Target="https://sports.yahoo.com/nfl/players/31905" TargetMode="External"/><Relationship Id="rId143" Type="http://schemas.openxmlformats.org/officeDocument/2006/relationships/hyperlink" Target="https://sports.yahoo.com/nfl/players/32671" TargetMode="External"/><Relationship Id="rId148" Type="http://schemas.openxmlformats.org/officeDocument/2006/relationships/hyperlink" Target="https://sports.yahoo.com/nfl/players/26534" TargetMode="External"/><Relationship Id="rId164" Type="http://schemas.openxmlformats.org/officeDocument/2006/relationships/hyperlink" Target="https://sports.yahoo.com/nfl/players/40059" TargetMode="External"/><Relationship Id="rId169" Type="http://schemas.openxmlformats.org/officeDocument/2006/relationships/hyperlink" Target="https://sports.yahoo.com/nfl/players/40030" TargetMode="External"/><Relationship Id="rId185" Type="http://schemas.openxmlformats.org/officeDocument/2006/relationships/hyperlink" Target="https://sports.yahoo.com/nfl/players/28534" TargetMode="External"/><Relationship Id="rId4" Type="http://schemas.openxmlformats.org/officeDocument/2006/relationships/hyperlink" Target="https://sports.yahoo.com/nfl/players/26662" TargetMode="External"/><Relationship Id="rId9" Type="http://schemas.openxmlformats.org/officeDocument/2006/relationships/hyperlink" Target="https://sports.yahoo.com/nfl/players/29269" TargetMode="External"/><Relationship Id="rId180" Type="http://schemas.openxmlformats.org/officeDocument/2006/relationships/hyperlink" Target="https://sports.yahoo.com/nfl/players/40819" TargetMode="External"/><Relationship Id="rId26" Type="http://schemas.openxmlformats.org/officeDocument/2006/relationships/hyperlink" Target="https://sports.yahoo.com/nfl/players/27540" TargetMode="External"/><Relationship Id="rId47" Type="http://schemas.openxmlformats.org/officeDocument/2006/relationships/hyperlink" Target="https://sports.yahoo.com/nfl/players/33967" TargetMode="External"/><Relationship Id="rId68" Type="http://schemas.openxmlformats.org/officeDocument/2006/relationships/hyperlink" Target="https://sports.yahoo.com/nfl/players/29238" TargetMode="External"/><Relationship Id="rId89" Type="http://schemas.openxmlformats.org/officeDocument/2006/relationships/hyperlink" Target="https://sports.yahoo.com/nfl/players/33392" TargetMode="External"/><Relationship Id="rId112" Type="http://schemas.openxmlformats.org/officeDocument/2006/relationships/hyperlink" Target="https://sports.yahoo.com/nfl/players/33508" TargetMode="External"/><Relationship Id="rId133" Type="http://schemas.openxmlformats.org/officeDocument/2006/relationships/hyperlink" Target="https://sports.yahoo.com/nfl/players/30180" TargetMode="External"/><Relationship Id="rId154" Type="http://schemas.openxmlformats.org/officeDocument/2006/relationships/hyperlink" Target="https://sports.yahoo.com/nfl/players/34047" TargetMode="External"/><Relationship Id="rId175" Type="http://schemas.openxmlformats.org/officeDocument/2006/relationships/hyperlink" Target="https://sports.yahoo.com/nfl/players/34120" TargetMode="External"/><Relationship Id="rId16" Type="http://schemas.openxmlformats.org/officeDocument/2006/relationships/hyperlink" Target="https://sports.yahoo.com/nfl/players/40911" TargetMode="External"/><Relationship Id="rId37" Type="http://schemas.openxmlformats.org/officeDocument/2006/relationships/hyperlink" Target="https://sports.yahoo.com/nfl/players/27277" TargetMode="External"/><Relationship Id="rId58" Type="http://schemas.openxmlformats.org/officeDocument/2006/relationships/hyperlink" Target="https://sports.yahoo.com/nfl/players/30213" TargetMode="External"/><Relationship Id="rId79" Type="http://schemas.openxmlformats.org/officeDocument/2006/relationships/hyperlink" Target="https://sports.yahoo.com/nfl/players/34218" TargetMode="External"/><Relationship Id="rId102" Type="http://schemas.openxmlformats.org/officeDocument/2006/relationships/hyperlink" Target="https://sports.yahoo.com/nfl/players/32696" TargetMode="External"/><Relationship Id="rId123" Type="http://schemas.openxmlformats.org/officeDocument/2006/relationships/hyperlink" Target="https://sports.yahoo.com/nfl/teams/seattle/" TargetMode="External"/><Relationship Id="rId144" Type="http://schemas.openxmlformats.org/officeDocument/2006/relationships/hyperlink" Target="https://sports.yahoo.com/nfl/players/34010" TargetMode="External"/><Relationship Id="rId90" Type="http://schemas.openxmlformats.org/officeDocument/2006/relationships/hyperlink" Target="https://sports.yahoo.com/nfl/players/28457" TargetMode="External"/><Relationship Id="rId165" Type="http://schemas.openxmlformats.org/officeDocument/2006/relationships/hyperlink" Target="https://sports.yahoo.com/nfl/players/30977" TargetMode="External"/><Relationship Id="rId186" Type="http://schemas.openxmlformats.org/officeDocument/2006/relationships/hyperlink" Target="https://sports.yahoo.com/nfl/players/30972" TargetMode="External"/><Relationship Id="rId27" Type="http://schemas.openxmlformats.org/officeDocument/2006/relationships/hyperlink" Target="https://sports.yahoo.com/nfl/players/30202" TargetMode="External"/><Relationship Id="rId48" Type="http://schemas.openxmlformats.org/officeDocument/2006/relationships/hyperlink" Target="https://sports.yahoo.com/nfl/players/40696" TargetMode="External"/><Relationship Id="rId69" Type="http://schemas.openxmlformats.org/officeDocument/2006/relationships/hyperlink" Target="https://sports.yahoo.com/nfl/players/9265" TargetMode="External"/><Relationship Id="rId113" Type="http://schemas.openxmlformats.org/officeDocument/2006/relationships/hyperlink" Target="https://sports.yahoo.com/nfl/players/26699" TargetMode="External"/><Relationship Id="rId134" Type="http://schemas.openxmlformats.org/officeDocument/2006/relationships/hyperlink" Target="https://sports.yahoo.com/nfl/players/30161" TargetMode="External"/><Relationship Id="rId80" Type="http://schemas.openxmlformats.org/officeDocument/2006/relationships/hyperlink" Target="https://sports.yahoo.com/nfl/players/31906" TargetMode="External"/><Relationship Id="rId155" Type="http://schemas.openxmlformats.org/officeDocument/2006/relationships/hyperlink" Target="https://sports.yahoo.com/nfl/players/32675" TargetMode="External"/><Relationship Id="rId176" Type="http://schemas.openxmlformats.org/officeDocument/2006/relationships/hyperlink" Target="https://sports.yahoo.com/nfl/players/29279" TargetMode="External"/><Relationship Id="rId17" Type="http://schemas.openxmlformats.org/officeDocument/2006/relationships/hyperlink" Target="https://sports.yahoo.com/nfl/players/32858" TargetMode="External"/><Relationship Id="rId38" Type="http://schemas.openxmlformats.org/officeDocument/2006/relationships/hyperlink" Target="https://sports.yahoo.com/nfl/players/32676" TargetMode="External"/><Relationship Id="rId59" Type="http://schemas.openxmlformats.org/officeDocument/2006/relationships/hyperlink" Target="https://sports.yahoo.com/nfl/players/40908" TargetMode="External"/><Relationship Id="rId103" Type="http://schemas.openxmlformats.org/officeDocument/2006/relationships/hyperlink" Target="https://sports.yahoo.com/nfl/players/31960" TargetMode="External"/><Relationship Id="rId124" Type="http://schemas.openxmlformats.org/officeDocument/2006/relationships/hyperlink" Target="https://sports.yahoo.com/nfl/players/31199" TargetMode="External"/><Relationship Id="rId70" Type="http://schemas.openxmlformats.org/officeDocument/2006/relationships/hyperlink" Target="https://sports.yahoo.com/nfl/players/40084" TargetMode="External"/><Relationship Id="rId91" Type="http://schemas.openxmlformats.org/officeDocument/2006/relationships/hyperlink" Target="https://sports.yahoo.com/nfl/players/30136" TargetMode="External"/><Relationship Id="rId145" Type="http://schemas.openxmlformats.org/officeDocument/2006/relationships/hyperlink" Target="https://sports.yahoo.com/nfl/players/30218" TargetMode="External"/><Relationship Id="rId166" Type="http://schemas.openxmlformats.org/officeDocument/2006/relationships/hyperlink" Target="https://sports.yahoo.com/nfl/players/34207" TargetMode="External"/><Relationship Id="rId187" Type="http://schemas.openxmlformats.org/officeDocument/2006/relationships/hyperlink" Target="https://sports.yahoo.com/nfl/players/32687" TargetMode="External"/><Relationship Id="rId1" Type="http://schemas.openxmlformats.org/officeDocument/2006/relationships/hyperlink" Target="https://sports.yahoo.com/nfl/players/26800" TargetMode="External"/><Relationship Id="rId28" Type="http://schemas.openxmlformats.org/officeDocument/2006/relationships/hyperlink" Target="https://sports.yahoo.com/nfl/players/33389" TargetMode="External"/><Relationship Id="rId49" Type="http://schemas.openxmlformats.org/officeDocument/2006/relationships/hyperlink" Target="https://sports.yahoo.com/nfl/players/29235" TargetMode="External"/><Relationship Id="rId114" Type="http://schemas.openxmlformats.org/officeDocument/2006/relationships/hyperlink" Target="https://sports.yahoo.com/nfl/players/31896" TargetMode="External"/><Relationship Id="rId60" Type="http://schemas.openxmlformats.org/officeDocument/2006/relationships/hyperlink" Target="https://sports.yahoo.com/nfl/players/31898" TargetMode="External"/><Relationship Id="rId81" Type="http://schemas.openxmlformats.org/officeDocument/2006/relationships/hyperlink" Target="https://sports.yahoo.com/nfl/teams/san-francisco/" TargetMode="External"/><Relationship Id="rId135" Type="http://schemas.openxmlformats.org/officeDocument/2006/relationships/hyperlink" Target="https://sports.yahoo.com/nfl/teams/cincinnati/" TargetMode="External"/><Relationship Id="rId156" Type="http://schemas.openxmlformats.org/officeDocument/2006/relationships/hyperlink" Target="https://sports.yahoo.com/nfl/players/40064" TargetMode="External"/><Relationship Id="rId177" Type="http://schemas.openxmlformats.org/officeDocument/2006/relationships/hyperlink" Target="https://sports.yahoo.com/nfl/players/32723" TargetMode="External"/><Relationship Id="rId18" Type="http://schemas.openxmlformats.org/officeDocument/2006/relationships/hyperlink" Target="https://sports.yahoo.com/nfl/players/34320" TargetMode="External"/><Relationship Id="rId39" Type="http://schemas.openxmlformats.org/officeDocument/2006/relationships/hyperlink" Target="https://sports.yahoo.com/nfl/players/41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3"/>
  <sheetViews>
    <sheetView tabSelected="1" topLeftCell="B1" workbookViewId="0">
      <selection activeCell="D55" sqref="D55"/>
    </sheetView>
  </sheetViews>
  <sheetFormatPr defaultRowHeight="15"/>
  <cols>
    <col min="1" max="1" width="9.28515625" hidden="1" customWidth="1"/>
    <col min="2" max="3" width="9.28515625" customWidth="1"/>
    <col min="4" max="5" width="9.28515625" style="13" customWidth="1"/>
    <col min="6" max="6" width="38.42578125" customWidth="1"/>
    <col min="8" max="8" width="41.7109375" customWidth="1"/>
  </cols>
  <sheetData>
    <row r="1" spans="1:8">
      <c r="A1" t="s">
        <v>0</v>
      </c>
      <c r="B1" t="s">
        <v>1</v>
      </c>
      <c r="C1" t="s">
        <v>2</v>
      </c>
      <c r="D1" s="13" t="s">
        <v>3</v>
      </c>
      <c r="E1" s="14" t="s">
        <v>4</v>
      </c>
      <c r="F1" t="s">
        <v>5</v>
      </c>
      <c r="G1" t="s">
        <v>6</v>
      </c>
      <c r="H1" t="s">
        <v>7</v>
      </c>
    </row>
    <row r="2" spans="1:8" ht="16.5">
      <c r="A2" s="1">
        <v>4</v>
      </c>
      <c r="B2">
        <v>1</v>
      </c>
      <c r="C2">
        <v>1</v>
      </c>
      <c r="D2" s="13">
        <v>1</v>
      </c>
      <c r="E2" s="13" t="str">
        <f>MID(LEFT(Table2[[#This Row],[Player]], FIND(")", Table2[[#This Row],[Player]]) - 1), FIND("{token}", SUBSTITUTE(Table2[[#This Row],[Player]], " ", "{token}", 3)) + 1, LEN(Table2[[#This Row],[Player]]))</f>
        <v>RB</v>
      </c>
      <c r="F2" s="2" t="s">
        <v>8</v>
      </c>
      <c r="G2" s="3">
        <v>74</v>
      </c>
      <c r="H2" s="4" t="s">
        <v>9</v>
      </c>
    </row>
    <row r="3" spans="1:8" ht="16.5">
      <c r="A3" s="5">
        <v>22</v>
      </c>
      <c r="B3">
        <f>B2+1</f>
        <v>2</v>
      </c>
      <c r="C3">
        <v>1</v>
      </c>
      <c r="D3" s="13">
        <v>2</v>
      </c>
      <c r="E3" s="13" t="str">
        <f>MID(LEFT(Table2[[#This Row],[Player]], FIND(")", Table2[[#This Row],[Player]]) - 1), FIND("{token}", SUBSTITUTE(Table2[[#This Row],[Player]], " ", "{token}", 3)) + 1, LEN(Table2[[#This Row],[Player]]))</f>
        <v>WR</v>
      </c>
      <c r="F3" s="6" t="s">
        <v>10</v>
      </c>
      <c r="G3" s="7">
        <v>66</v>
      </c>
      <c r="H3" s="8" t="s">
        <v>11</v>
      </c>
    </row>
    <row r="4" spans="1:8" ht="16.5">
      <c r="A4" s="5">
        <v>6</v>
      </c>
      <c r="B4">
        <f>B3+1</f>
        <v>3</v>
      </c>
      <c r="C4">
        <v>1</v>
      </c>
      <c r="D4" s="13">
        <v>3</v>
      </c>
      <c r="E4" s="13" t="str">
        <f>MID(LEFT(Table2[[#This Row],[Player]], FIND(")", Table2[[#This Row],[Player]]) - 1), FIND("{token}", SUBSTITUTE(Table2[[#This Row],[Player]], " ", "{token}", 3)) + 1, LEN(Table2[[#This Row],[Player]]))</f>
        <v>WR</v>
      </c>
      <c r="F4" s="6" t="s">
        <v>12</v>
      </c>
      <c r="G4" s="7">
        <v>65</v>
      </c>
      <c r="H4" s="8" t="s">
        <v>13</v>
      </c>
    </row>
    <row r="5" spans="1:8" ht="16.5">
      <c r="A5" s="5">
        <v>11</v>
      </c>
      <c r="B5">
        <f>B4+1</f>
        <v>4</v>
      </c>
      <c r="C5">
        <v>1</v>
      </c>
      <c r="D5" s="13">
        <v>4</v>
      </c>
      <c r="E5" s="13" t="str">
        <f>MID(LEFT(Table2[[#This Row],[Player]], FIND(")", Table2[[#This Row],[Player]]) - 1), FIND("{token}", SUBSTITUTE(Table2[[#This Row],[Player]], " ", "{token}", 3)) + 1, LEN(Table2[[#This Row],[Player]]))</f>
        <v>RB</v>
      </c>
      <c r="F5" s="6" t="s">
        <v>14</v>
      </c>
      <c r="G5" s="7">
        <v>65</v>
      </c>
      <c r="H5" s="8" t="s">
        <v>15</v>
      </c>
    </row>
    <row r="6" spans="1:8" ht="16.5">
      <c r="A6" s="5">
        <v>26</v>
      </c>
      <c r="B6">
        <f>B5+1</f>
        <v>5</v>
      </c>
      <c r="C6">
        <v>1</v>
      </c>
      <c r="D6" s="13">
        <v>5</v>
      </c>
      <c r="E6" s="13" t="str">
        <f>MID(LEFT(Table2[[#This Row],[Player]], FIND(")", Table2[[#This Row],[Player]]) - 1), FIND("{token}", SUBSTITUTE(Table2[[#This Row],[Player]], " ", "{token}", 3)) + 1, LEN(Table2[[#This Row],[Player]]))</f>
        <v>WR</v>
      </c>
      <c r="F6" s="6" t="s">
        <v>16</v>
      </c>
      <c r="G6" s="7">
        <v>62</v>
      </c>
      <c r="H6" s="8" t="s">
        <v>17</v>
      </c>
    </row>
    <row r="7" spans="1:8" ht="16.5">
      <c r="A7" s="5">
        <v>10</v>
      </c>
      <c r="B7">
        <f>B6+1</f>
        <v>6</v>
      </c>
      <c r="C7">
        <v>1</v>
      </c>
      <c r="D7" s="13">
        <v>6</v>
      </c>
      <c r="E7" s="13" t="str">
        <f>MID(LEFT(Table2[[#This Row],[Player]], FIND(")", Table2[[#This Row],[Player]]) - 1), FIND("{token}", SUBSTITUTE(Table2[[#This Row],[Player]], " ", "{token}", 3)) + 1, LEN(Table2[[#This Row],[Player]]))</f>
        <v>WR</v>
      </c>
      <c r="F7" s="6" t="s">
        <v>18</v>
      </c>
      <c r="G7" s="7">
        <v>61</v>
      </c>
      <c r="H7" s="8" t="s">
        <v>19</v>
      </c>
    </row>
    <row r="8" spans="1:8" ht="16.5">
      <c r="A8" s="5">
        <v>23</v>
      </c>
      <c r="B8">
        <f>B7+1</f>
        <v>7</v>
      </c>
      <c r="C8">
        <v>1</v>
      </c>
      <c r="D8" s="13">
        <v>7</v>
      </c>
      <c r="E8" s="13" t="str">
        <f>MID(LEFT(Table2[[#This Row],[Player]], FIND(")", Table2[[#This Row],[Player]]) - 1), FIND("{token}", SUBSTITUTE(Table2[[#This Row],[Player]], " ", "{token}", 3)) + 1, LEN(Table2[[#This Row],[Player]]))</f>
        <v>RB</v>
      </c>
      <c r="F8" s="6" t="s">
        <v>20</v>
      </c>
      <c r="G8" s="7">
        <v>60</v>
      </c>
      <c r="H8" s="8" t="s">
        <v>19</v>
      </c>
    </row>
    <row r="9" spans="1:8" ht="16.5">
      <c r="A9" s="5">
        <v>3</v>
      </c>
      <c r="B9">
        <f>B8+1</f>
        <v>8</v>
      </c>
      <c r="C9">
        <v>1</v>
      </c>
      <c r="D9" s="13">
        <v>8</v>
      </c>
      <c r="E9" s="13" t="s">
        <v>21</v>
      </c>
      <c r="F9" s="6" t="s">
        <v>22</v>
      </c>
      <c r="G9" s="7">
        <v>57</v>
      </c>
      <c r="H9" s="8" t="s">
        <v>11</v>
      </c>
    </row>
    <row r="10" spans="1:8" ht="16.5">
      <c r="A10" s="5">
        <v>5</v>
      </c>
      <c r="B10">
        <f>B9+1</f>
        <v>9</v>
      </c>
      <c r="C10">
        <v>1</v>
      </c>
      <c r="D10" s="13">
        <v>9</v>
      </c>
      <c r="E10" s="13" t="str">
        <f>MID(LEFT(Table2[[#This Row],[Player]], FIND(")", Table2[[#This Row],[Player]]) - 1), FIND("{token}", SUBSTITUTE(Table2[[#This Row],[Player]], " ", "{token}", 3)) + 1, LEN(Table2[[#This Row],[Player]]))</f>
        <v>WR</v>
      </c>
      <c r="F10" s="6" t="s">
        <v>23</v>
      </c>
      <c r="G10" s="7">
        <v>53</v>
      </c>
      <c r="H10" s="8" t="s">
        <v>24</v>
      </c>
    </row>
    <row r="11" spans="1:8" ht="16.5">
      <c r="A11" s="5">
        <v>25</v>
      </c>
      <c r="B11">
        <f>B10+1</f>
        <v>10</v>
      </c>
      <c r="C11">
        <v>1</v>
      </c>
      <c r="D11" s="13">
        <v>10</v>
      </c>
      <c r="E11" s="13" t="str">
        <f>MID(LEFT(Table2[[#This Row],[Player]], FIND(")", Table2[[#This Row],[Player]]) - 1), FIND("{token}", SUBSTITUTE(Table2[[#This Row],[Player]], " ", "{token}", 3)) + 1, LEN(Table2[[#This Row],[Player]]))</f>
        <v>RB</v>
      </c>
      <c r="F11" s="6" t="s">
        <v>25</v>
      </c>
      <c r="G11" s="7">
        <v>50</v>
      </c>
      <c r="H11" s="8" t="s">
        <v>24</v>
      </c>
    </row>
    <row r="12" spans="1:8" ht="16.5">
      <c r="A12" s="5">
        <v>34</v>
      </c>
      <c r="B12">
        <f>B11+1</f>
        <v>11</v>
      </c>
      <c r="C12">
        <v>1</v>
      </c>
      <c r="D12" s="13">
        <v>11</v>
      </c>
      <c r="E12" s="13" t="str">
        <f>MID(LEFT(Table2[[#This Row],[Player]], FIND(")", Table2[[#This Row],[Player]]) - 1), FIND("{token}", SUBSTITUTE(Table2[[#This Row],[Player]], " ", "{token}", 3)) + 1, LEN(Table2[[#This Row],[Player]]))</f>
        <v>WR</v>
      </c>
      <c r="F12" s="6" t="s">
        <v>26</v>
      </c>
      <c r="G12" s="7">
        <v>50</v>
      </c>
      <c r="H12" s="8" t="s">
        <v>11</v>
      </c>
    </row>
    <row r="13" spans="1:8" ht="16.5">
      <c r="A13" s="5">
        <v>7</v>
      </c>
      <c r="B13">
        <f>B12+1</f>
        <v>12</v>
      </c>
      <c r="C13">
        <v>1</v>
      </c>
      <c r="D13" s="13">
        <v>12</v>
      </c>
      <c r="E13" s="13" t="str">
        <f>MID(LEFT(Table2[[#This Row],[Player]], FIND(")", Table2[[#This Row],[Player]]) - 1), FIND("{token}", SUBSTITUTE(Table2[[#This Row],[Player]], " ", "{token}", 3)) + 1, LEN(Table2[[#This Row],[Player]]))</f>
        <v>RB</v>
      </c>
      <c r="F13" s="6" t="s">
        <v>27</v>
      </c>
      <c r="G13" s="7">
        <v>47</v>
      </c>
      <c r="H13" s="8" t="s">
        <v>28</v>
      </c>
    </row>
    <row r="14" spans="1:8" ht="16.5">
      <c r="A14" s="5">
        <v>17</v>
      </c>
      <c r="B14">
        <f>B13+1</f>
        <v>13</v>
      </c>
      <c r="C14">
        <f>C2+1</f>
        <v>2</v>
      </c>
      <c r="D14" s="13">
        <v>1</v>
      </c>
      <c r="E14" s="13" t="str">
        <f>MID(LEFT(Table2[[#This Row],[Player]], FIND(")", Table2[[#This Row],[Player]]) - 1), FIND("{token}", SUBSTITUTE(Table2[[#This Row],[Player]], " ", "{token}", 3)) + 1, LEN(Table2[[#This Row],[Player]]))</f>
        <v>RB</v>
      </c>
      <c r="F14" s="6" t="s">
        <v>29</v>
      </c>
      <c r="G14" s="7">
        <v>46</v>
      </c>
      <c r="H14" s="8" t="s">
        <v>15</v>
      </c>
    </row>
    <row r="15" spans="1:8" ht="16.5">
      <c r="A15" s="5">
        <v>19</v>
      </c>
      <c r="B15">
        <f>B14+1</f>
        <v>14</v>
      </c>
      <c r="C15">
        <f>C3+1</f>
        <v>2</v>
      </c>
      <c r="D15" s="13">
        <v>2</v>
      </c>
      <c r="E15" s="13" t="str">
        <f>MID(LEFT(Table2[[#This Row],[Player]], FIND(")", Table2[[#This Row],[Player]]) - 1), FIND("{token}", SUBSTITUTE(Table2[[#This Row],[Player]], " ", "{token}", 3)) + 1, LEN(Table2[[#This Row],[Player]]))</f>
        <v>WR</v>
      </c>
      <c r="F15" s="6" t="s">
        <v>30</v>
      </c>
      <c r="G15" s="7">
        <v>44</v>
      </c>
      <c r="H15" s="8" t="s">
        <v>31</v>
      </c>
    </row>
    <row r="16" spans="1:8" ht="16.5">
      <c r="A16" s="5">
        <v>18</v>
      </c>
      <c r="B16">
        <f>B15+1</f>
        <v>15</v>
      </c>
      <c r="C16">
        <f>C4+1</f>
        <v>2</v>
      </c>
      <c r="D16" s="13">
        <v>3</v>
      </c>
      <c r="E16" s="13" t="str">
        <f>MID(LEFT(Table2[[#This Row],[Player]], FIND(")", Table2[[#This Row],[Player]]) - 1), FIND("{token}", SUBSTITUTE(Table2[[#This Row],[Player]], " ", "{token}", 3)) + 1, LEN(Table2[[#This Row],[Player]]))</f>
        <v>RB</v>
      </c>
      <c r="F16" s="6" t="s">
        <v>32</v>
      </c>
      <c r="G16" s="7">
        <v>43</v>
      </c>
      <c r="H16" s="8" t="s">
        <v>31</v>
      </c>
    </row>
    <row r="17" spans="1:8" ht="16.5">
      <c r="A17" s="5">
        <v>2</v>
      </c>
      <c r="B17">
        <f>B16+1</f>
        <v>16</v>
      </c>
      <c r="C17">
        <f>C5+1</f>
        <v>2</v>
      </c>
      <c r="D17" s="13">
        <v>4</v>
      </c>
      <c r="E17" s="13" t="s">
        <v>33</v>
      </c>
      <c r="F17" s="6" t="s">
        <v>34</v>
      </c>
      <c r="G17" s="7">
        <v>38</v>
      </c>
      <c r="H17" s="8" t="s">
        <v>28</v>
      </c>
    </row>
    <row r="18" spans="1:8" ht="16.5">
      <c r="A18" s="5">
        <v>29</v>
      </c>
      <c r="B18">
        <f>B17+1</f>
        <v>17</v>
      </c>
      <c r="C18">
        <f>C6+1</f>
        <v>2</v>
      </c>
      <c r="D18" s="13">
        <v>5</v>
      </c>
      <c r="E18" s="13" t="str">
        <f>MID(LEFT(Table2[[#This Row],[Player]], FIND(")", Table2[[#This Row],[Player]]) - 1), FIND("{token}", SUBSTITUTE(Table2[[#This Row],[Player]], " ", "{token}", 3)) + 1, LEN(Table2[[#This Row],[Player]]))</f>
        <v>RB</v>
      </c>
      <c r="F18" s="6" t="s">
        <v>35</v>
      </c>
      <c r="G18" s="7">
        <v>38</v>
      </c>
      <c r="H18" s="8" t="s">
        <v>15</v>
      </c>
    </row>
    <row r="19" spans="1:8" ht="16.5">
      <c r="A19" s="5">
        <v>32</v>
      </c>
      <c r="B19">
        <f>B18+1</f>
        <v>18</v>
      </c>
      <c r="C19">
        <f>C7+1</f>
        <v>2</v>
      </c>
      <c r="D19" s="13">
        <v>6</v>
      </c>
      <c r="E19" s="13" t="s">
        <v>21</v>
      </c>
      <c r="F19" s="6" t="s">
        <v>36</v>
      </c>
      <c r="G19" s="7">
        <v>37</v>
      </c>
      <c r="H19" s="8" t="s">
        <v>31</v>
      </c>
    </row>
    <row r="20" spans="1:8" ht="16.5">
      <c r="A20" s="5">
        <v>73</v>
      </c>
      <c r="B20">
        <f>B19+1</f>
        <v>19</v>
      </c>
      <c r="C20">
        <f>C8+1</f>
        <v>2</v>
      </c>
      <c r="D20" s="13">
        <v>7</v>
      </c>
      <c r="E20" s="13" t="str">
        <f>MID(LEFT(Table2[[#This Row],[Player]], FIND(")", Table2[[#This Row],[Player]]) - 1), FIND("{token}", SUBSTITUTE(Table2[[#This Row],[Player]], " ", "{token}", 3)) + 1, LEN(Table2[[#This Row],[Player]]))</f>
        <v>WR</v>
      </c>
      <c r="F20" s="6" t="s">
        <v>37</v>
      </c>
      <c r="G20" s="7">
        <v>37</v>
      </c>
      <c r="H20" s="8" t="s">
        <v>17</v>
      </c>
    </row>
    <row r="21" spans="1:8" ht="16.5">
      <c r="A21" s="5">
        <v>27</v>
      </c>
      <c r="B21">
        <f>B20+1</f>
        <v>20</v>
      </c>
      <c r="C21">
        <f>C9+1</f>
        <v>2</v>
      </c>
      <c r="D21" s="13">
        <v>8</v>
      </c>
      <c r="E21" s="13" t="str">
        <f>MID(LEFT(Table2[[#This Row],[Player]], FIND(")", Table2[[#This Row],[Player]]) - 1), FIND("{token}", SUBSTITUTE(Table2[[#This Row],[Player]], " ", "{token}", 3)) + 1, LEN(Table2[[#This Row],[Player]]))</f>
        <v>RB</v>
      </c>
      <c r="F21" s="6" t="s">
        <v>38</v>
      </c>
      <c r="G21" s="7">
        <v>36</v>
      </c>
      <c r="H21" s="8" t="s">
        <v>19</v>
      </c>
    </row>
    <row r="22" spans="1:8" ht="16.5">
      <c r="A22" s="5">
        <v>41</v>
      </c>
      <c r="B22">
        <f>B21+1</f>
        <v>21</v>
      </c>
      <c r="C22">
        <f>C10+1</f>
        <v>2</v>
      </c>
      <c r="D22" s="13">
        <v>9</v>
      </c>
      <c r="E22" s="13" t="str">
        <f>MID(LEFT(Table2[[#This Row],[Player]], FIND(")", Table2[[#This Row],[Player]]) - 1), FIND("{token}", SUBSTITUTE(Table2[[#This Row],[Player]], " ", "{token}", 3)) + 1, LEN(Table2[[#This Row],[Player]]))</f>
        <v>RB</v>
      </c>
      <c r="F22" s="6" t="s">
        <v>39</v>
      </c>
      <c r="G22" s="7">
        <v>35</v>
      </c>
      <c r="H22" s="8" t="s">
        <v>40</v>
      </c>
    </row>
    <row r="23" spans="1:8" ht="16.5">
      <c r="A23" s="5">
        <v>55</v>
      </c>
      <c r="B23">
        <f>B22+1</f>
        <v>22</v>
      </c>
      <c r="C23">
        <f>C11+1</f>
        <v>2</v>
      </c>
      <c r="D23" s="13">
        <v>10</v>
      </c>
      <c r="E23" s="13" t="str">
        <f>MID(LEFT(Table2[[#This Row],[Player]], FIND(")", Table2[[#This Row],[Player]]) - 1), FIND("{token}", SUBSTITUTE(Table2[[#This Row],[Player]], " ", "{token}", 3)) + 1, LEN(Table2[[#This Row],[Player]]))</f>
        <v>WR</v>
      </c>
      <c r="F23" s="6" t="s">
        <v>41</v>
      </c>
      <c r="G23" s="7">
        <v>33</v>
      </c>
      <c r="H23" s="8" t="s">
        <v>42</v>
      </c>
    </row>
    <row r="24" spans="1:8" ht="16.5">
      <c r="A24" s="5">
        <v>16</v>
      </c>
      <c r="B24">
        <f>B23+1</f>
        <v>23</v>
      </c>
      <c r="C24">
        <f>C12+1</f>
        <v>2</v>
      </c>
      <c r="D24" s="13">
        <v>11</v>
      </c>
      <c r="E24" s="13" t="str">
        <f>MID(LEFT(Table2[[#This Row],[Player]], FIND(")", Table2[[#This Row],[Player]]) - 1), FIND("{token}", SUBSTITUTE(Table2[[#This Row],[Player]], " ", "{token}", 3)) + 1, LEN(Table2[[#This Row],[Player]]))</f>
        <v>QB</v>
      </c>
      <c r="F24" s="6" t="s">
        <v>43</v>
      </c>
      <c r="G24" s="7">
        <v>32</v>
      </c>
      <c r="H24" s="8" t="s">
        <v>13</v>
      </c>
    </row>
    <row r="25" spans="1:8" ht="16.5">
      <c r="A25" s="5">
        <v>44</v>
      </c>
      <c r="B25">
        <f>B24+1</f>
        <v>24</v>
      </c>
      <c r="C25">
        <f>C13+1</f>
        <v>2</v>
      </c>
      <c r="D25" s="13">
        <v>12</v>
      </c>
      <c r="E25" s="13" t="str">
        <f>MID(LEFT(Table2[[#This Row],[Player]], FIND(")", Table2[[#This Row],[Player]]) - 1), FIND("{token}", SUBSTITUTE(Table2[[#This Row],[Player]], " ", "{token}", 3)) + 1, LEN(Table2[[#This Row],[Player]]))</f>
        <v>WR</v>
      </c>
      <c r="F25" s="6" t="s">
        <v>44</v>
      </c>
      <c r="G25" s="7">
        <v>32</v>
      </c>
      <c r="H25" s="8" t="s">
        <v>42</v>
      </c>
    </row>
    <row r="26" spans="1:8" ht="16.5">
      <c r="A26" s="5">
        <v>76</v>
      </c>
      <c r="B26">
        <f>B25+1</f>
        <v>25</v>
      </c>
      <c r="C26">
        <f>C14+1</f>
        <v>3</v>
      </c>
      <c r="D26" s="13">
        <v>1</v>
      </c>
      <c r="E26" s="13" t="str">
        <f>MID(LEFT(Table2[[#This Row],[Player]], FIND(")", Table2[[#This Row],[Player]]) - 1), FIND("{token}", SUBSTITUTE(Table2[[#This Row],[Player]], " ", "{token}", 3)) + 1, LEN(Table2[[#This Row],[Player]]))</f>
        <v>WR</v>
      </c>
      <c r="F26" s="6" t="s">
        <v>45</v>
      </c>
      <c r="G26" s="7">
        <v>32</v>
      </c>
      <c r="H26" s="8" t="s">
        <v>40</v>
      </c>
    </row>
    <row r="27" spans="1:8" ht="16.5">
      <c r="A27" s="5">
        <v>30</v>
      </c>
      <c r="B27">
        <f>B26+1</f>
        <v>26</v>
      </c>
      <c r="C27">
        <f>C15+1</f>
        <v>3</v>
      </c>
      <c r="D27" s="13">
        <v>2</v>
      </c>
      <c r="E27" s="13" t="str">
        <f>MID(LEFT(Table2[[#This Row],[Player]], FIND(")", Table2[[#This Row],[Player]]) - 1), FIND("{token}", SUBSTITUTE(Table2[[#This Row],[Player]], " ", "{token}", 3)) + 1, LEN(Table2[[#This Row],[Player]]))</f>
        <v>WR</v>
      </c>
      <c r="F27" s="6" t="s">
        <v>46</v>
      </c>
      <c r="G27" s="7">
        <v>31</v>
      </c>
      <c r="H27" s="8" t="s">
        <v>42</v>
      </c>
    </row>
    <row r="28" spans="1:8" ht="16.5">
      <c r="A28" s="5">
        <v>14</v>
      </c>
      <c r="B28">
        <f>B27+1</f>
        <v>27</v>
      </c>
      <c r="C28">
        <f>C16+1</f>
        <v>3</v>
      </c>
      <c r="D28" s="13">
        <v>3</v>
      </c>
      <c r="E28" s="13" t="str">
        <f>MID(LEFT(Table2[[#This Row],[Player]], FIND(")", Table2[[#This Row],[Player]]) - 1), FIND("{token}", SUBSTITUTE(Table2[[#This Row],[Player]], " ", "{token}", 3)) + 1, LEN(Table2[[#This Row],[Player]]))</f>
        <v>RB</v>
      </c>
      <c r="F28" s="6" t="s">
        <v>47</v>
      </c>
      <c r="G28" s="7">
        <v>30</v>
      </c>
      <c r="H28" s="8" t="s">
        <v>42</v>
      </c>
    </row>
    <row r="29" spans="1:8" ht="16.5">
      <c r="A29" s="5">
        <v>28</v>
      </c>
      <c r="B29">
        <f>B28+1</f>
        <v>28</v>
      </c>
      <c r="C29">
        <f>C17+1</f>
        <v>3</v>
      </c>
      <c r="D29" s="13">
        <v>4</v>
      </c>
      <c r="E29" s="13" t="str">
        <f>MID(LEFT(Table2[[#This Row],[Player]], FIND(")", Table2[[#This Row],[Player]]) - 1), FIND("{token}", SUBSTITUTE(Table2[[#This Row],[Player]], " ", "{token}", 3)) + 1, LEN(Table2[[#This Row],[Player]]))</f>
        <v>QB</v>
      </c>
      <c r="F29" s="6" t="s">
        <v>48</v>
      </c>
      <c r="G29" s="7">
        <v>30</v>
      </c>
      <c r="H29" s="8" t="s">
        <v>9</v>
      </c>
    </row>
    <row r="30" spans="1:8" ht="16.5">
      <c r="A30" s="5">
        <v>20</v>
      </c>
      <c r="B30">
        <f>B29+1</f>
        <v>29</v>
      </c>
      <c r="C30">
        <f>C18+1</f>
        <v>3</v>
      </c>
      <c r="D30" s="13">
        <v>5</v>
      </c>
      <c r="E30" s="13" t="str">
        <f>MID(LEFT(Table2[[#This Row],[Player]], FIND(")", Table2[[#This Row],[Player]]) - 1), FIND("{token}", SUBSTITUTE(Table2[[#This Row],[Player]], " ", "{token}", 3)) + 1, LEN(Table2[[#This Row],[Player]]))</f>
        <v>WR</v>
      </c>
      <c r="F30" s="6" t="s">
        <v>49</v>
      </c>
      <c r="G30" s="7">
        <v>29</v>
      </c>
      <c r="H30" s="8" t="s">
        <v>50</v>
      </c>
    </row>
    <row r="31" spans="1:8" ht="16.5">
      <c r="A31" s="5">
        <v>37</v>
      </c>
      <c r="B31">
        <f>B30+1</f>
        <v>30</v>
      </c>
      <c r="C31">
        <f>C19+1</f>
        <v>3</v>
      </c>
      <c r="D31" s="13">
        <v>6</v>
      </c>
      <c r="E31" s="13" t="str">
        <f>MID(LEFT(Table2[[#This Row],[Player]], FIND(")", Table2[[#This Row],[Player]]) - 1), FIND("{token}", SUBSTITUTE(Table2[[#This Row],[Player]], " ", "{token}", 3)) + 1, LEN(Table2[[#This Row],[Player]]))</f>
        <v>TE</v>
      </c>
      <c r="F31" s="6" t="s">
        <v>51</v>
      </c>
      <c r="G31" s="7">
        <v>29</v>
      </c>
      <c r="H31" s="8" t="s">
        <v>40</v>
      </c>
    </row>
    <row r="32" spans="1:8" ht="16.5">
      <c r="A32" s="5">
        <v>68</v>
      </c>
      <c r="B32">
        <f>B31+1</f>
        <v>31</v>
      </c>
      <c r="C32">
        <f>C20+1</f>
        <v>3</v>
      </c>
      <c r="D32" s="13">
        <v>7</v>
      </c>
      <c r="E32" s="13" t="s">
        <v>21</v>
      </c>
      <c r="F32" s="6" t="s">
        <v>52</v>
      </c>
      <c r="G32" s="7">
        <v>28</v>
      </c>
      <c r="H32" s="8" t="s">
        <v>13</v>
      </c>
    </row>
    <row r="33" spans="1:8" ht="16.5">
      <c r="A33" s="5">
        <v>31</v>
      </c>
      <c r="B33">
        <f>B32+1</f>
        <v>32</v>
      </c>
      <c r="C33">
        <f>C21+1</f>
        <v>3</v>
      </c>
      <c r="D33" s="13">
        <v>8</v>
      </c>
      <c r="E33" s="13" t="str">
        <f>MID(LEFT(Table2[[#This Row],[Player]], FIND(")", Table2[[#This Row],[Player]]) - 1), FIND("{token}", SUBSTITUTE(Table2[[#This Row],[Player]], " ", "{token}", 3)) + 1, LEN(Table2[[#This Row],[Player]]))</f>
        <v>TE</v>
      </c>
      <c r="F33" s="6" t="s">
        <v>53</v>
      </c>
      <c r="G33" s="7">
        <v>27</v>
      </c>
      <c r="H33" s="8" t="s">
        <v>50</v>
      </c>
    </row>
    <row r="34" spans="1:8" ht="16.5">
      <c r="A34" s="5">
        <v>51</v>
      </c>
      <c r="B34">
        <f>B33+1</f>
        <v>33</v>
      </c>
      <c r="C34">
        <f>C22+1</f>
        <v>3</v>
      </c>
      <c r="D34" s="13">
        <v>9</v>
      </c>
      <c r="E34" s="13" t="str">
        <f>MID(LEFT(Table2[[#This Row],[Player]], FIND(")", Table2[[#This Row],[Player]]) - 1), FIND("{token}", SUBSTITUTE(Table2[[#This Row],[Player]], " ", "{token}", 3)) + 1, LEN(Table2[[#This Row],[Player]]))</f>
        <v>RB</v>
      </c>
      <c r="F34" s="6" t="s">
        <v>54</v>
      </c>
      <c r="G34" s="7">
        <v>27</v>
      </c>
      <c r="H34" s="8" t="s">
        <v>17</v>
      </c>
    </row>
    <row r="35" spans="1:8" ht="16.5">
      <c r="A35" s="5">
        <v>59</v>
      </c>
      <c r="B35">
        <f>B34+1</f>
        <v>34</v>
      </c>
      <c r="C35">
        <f>C23+1</f>
        <v>3</v>
      </c>
      <c r="D35" s="13">
        <v>10</v>
      </c>
      <c r="E35" s="13" t="str">
        <f>MID(LEFT(Table2[[#This Row],[Player]], FIND(")", Table2[[#This Row],[Player]]) - 1), FIND("{token}", SUBSTITUTE(Table2[[#This Row],[Player]], " ", "{token}", 3)) + 1, LEN(Table2[[#This Row],[Player]]))</f>
        <v>RB</v>
      </c>
      <c r="F35" s="6" t="s">
        <v>55</v>
      </c>
      <c r="G35" s="7">
        <v>26</v>
      </c>
      <c r="H35" s="8" t="s">
        <v>24</v>
      </c>
    </row>
    <row r="36" spans="1:8" ht="16.5">
      <c r="A36" s="5">
        <v>63</v>
      </c>
      <c r="B36">
        <f>B35+1</f>
        <v>35</v>
      </c>
      <c r="C36">
        <f>C24+1</f>
        <v>3</v>
      </c>
      <c r="D36" s="13">
        <v>11</v>
      </c>
      <c r="E36" s="13" t="s">
        <v>33</v>
      </c>
      <c r="F36" s="6" t="s">
        <v>56</v>
      </c>
      <c r="G36" s="7">
        <v>26</v>
      </c>
      <c r="H36" s="8" t="s">
        <v>17</v>
      </c>
    </row>
    <row r="37" spans="1:8" ht="16.5">
      <c r="A37" s="5">
        <v>78</v>
      </c>
      <c r="B37">
        <f>B36+1</f>
        <v>36</v>
      </c>
      <c r="C37">
        <f>C25+1</f>
        <v>3</v>
      </c>
      <c r="D37" s="13">
        <v>12</v>
      </c>
      <c r="E37" s="13" t="s">
        <v>21</v>
      </c>
      <c r="F37" s="6" t="s">
        <v>57</v>
      </c>
      <c r="G37" s="7">
        <v>26</v>
      </c>
      <c r="H37" s="8" t="s">
        <v>50</v>
      </c>
    </row>
    <row r="38" spans="1:8" ht="16.5">
      <c r="A38" s="5">
        <v>79</v>
      </c>
      <c r="B38">
        <f>B37+1</f>
        <v>37</v>
      </c>
      <c r="C38">
        <f>C26+1</f>
        <v>4</v>
      </c>
      <c r="D38" s="13">
        <v>1</v>
      </c>
      <c r="E38" s="13" t="str">
        <f>MID(LEFT(Table2[[#This Row],[Player]], FIND(")", Table2[[#This Row],[Player]]) - 1), FIND("{token}", SUBSTITUTE(Table2[[#This Row],[Player]], " ", "{token}", 3)) + 1, LEN(Table2[[#This Row],[Player]]))</f>
        <v>WR</v>
      </c>
      <c r="F38" s="6" t="s">
        <v>58</v>
      </c>
      <c r="G38" s="7">
        <v>25</v>
      </c>
      <c r="H38" s="8" t="s">
        <v>50</v>
      </c>
    </row>
    <row r="39" spans="1:8" ht="16.5">
      <c r="A39" s="5">
        <v>39</v>
      </c>
      <c r="B39">
        <f>B38+1</f>
        <v>38</v>
      </c>
      <c r="C39">
        <f>C27+1</f>
        <v>4</v>
      </c>
      <c r="D39" s="13">
        <v>2</v>
      </c>
      <c r="E39" s="13" t="str">
        <f>MID(LEFT(Table2[[#This Row],[Player]], FIND(")", Table2[[#This Row],[Player]]) - 1), FIND("{token}", SUBSTITUTE(Table2[[#This Row],[Player]], " ", "{token}", 3)) + 1, LEN(Table2[[#This Row],[Player]]))</f>
        <v>RB</v>
      </c>
      <c r="F39" s="6" t="s">
        <v>59</v>
      </c>
      <c r="G39" s="7">
        <v>24</v>
      </c>
      <c r="H39" s="8" t="s">
        <v>40</v>
      </c>
    </row>
    <row r="40" spans="1:8" ht="16.5">
      <c r="A40" s="5">
        <v>67</v>
      </c>
      <c r="B40">
        <f>B39+1</f>
        <v>39</v>
      </c>
      <c r="C40">
        <f>C28+1</f>
        <v>4</v>
      </c>
      <c r="D40" s="13">
        <v>3</v>
      </c>
      <c r="E40" s="13" t="str">
        <f>MID(LEFT(Table2[[#This Row],[Player]], FIND(")", Table2[[#This Row],[Player]]) - 1), FIND("{token}", SUBSTITUTE(Table2[[#This Row],[Player]], " ", "{token}", 3)) + 1, LEN(Table2[[#This Row],[Player]]))</f>
        <v>WR</v>
      </c>
      <c r="F40" s="6" t="s">
        <v>60</v>
      </c>
      <c r="G40" s="7">
        <v>24</v>
      </c>
      <c r="H40" s="8" t="s">
        <v>13</v>
      </c>
    </row>
    <row r="41" spans="1:8" ht="16.5">
      <c r="A41" s="5">
        <v>15</v>
      </c>
      <c r="B41">
        <f>B40+1</f>
        <v>40</v>
      </c>
      <c r="C41">
        <f>C29+1</f>
        <v>4</v>
      </c>
      <c r="D41" s="13">
        <v>4</v>
      </c>
      <c r="E41" s="13" t="str">
        <f>MID(LEFT(Table2[[#This Row],[Player]], FIND(")", Table2[[#This Row],[Player]]) - 1), FIND("{token}", SUBSTITUTE(Table2[[#This Row],[Player]], " ", "{token}", 3)) + 1, LEN(Table2[[#This Row],[Player]]))</f>
        <v>WR</v>
      </c>
      <c r="F41" s="6" t="s">
        <v>61</v>
      </c>
      <c r="G41" s="7">
        <v>23</v>
      </c>
      <c r="H41" s="8" t="s">
        <v>24</v>
      </c>
    </row>
    <row r="42" spans="1:8" ht="16.5">
      <c r="A42" s="5">
        <v>8</v>
      </c>
      <c r="B42">
        <f>B41+1</f>
        <v>41</v>
      </c>
      <c r="C42">
        <f>C30+1</f>
        <v>4</v>
      </c>
      <c r="D42" s="13">
        <v>5</v>
      </c>
      <c r="E42" s="13" t="str">
        <f>MID(LEFT(Table2[[#This Row],[Player]], FIND(")", Table2[[#This Row],[Player]]) - 1), FIND("{token}", SUBSTITUTE(Table2[[#This Row],[Player]], " ", "{token}", 3)) + 1, LEN(Table2[[#This Row],[Player]]))</f>
        <v>WR</v>
      </c>
      <c r="F42" s="6" t="s">
        <v>62</v>
      </c>
      <c r="G42" s="7">
        <v>21</v>
      </c>
      <c r="H42" s="8" t="s">
        <v>42</v>
      </c>
    </row>
    <row r="43" spans="1:8" ht="16.5">
      <c r="A43" s="5">
        <v>42</v>
      </c>
      <c r="B43">
        <f>B42+1</f>
        <v>42</v>
      </c>
      <c r="C43">
        <f>C31+1</f>
        <v>4</v>
      </c>
      <c r="D43" s="13">
        <v>6</v>
      </c>
      <c r="E43" s="13" t="str">
        <f>MID(LEFT(Table2[[#This Row],[Player]], FIND(")", Table2[[#This Row],[Player]]) - 1), FIND("{token}", SUBSTITUTE(Table2[[#This Row],[Player]], " ", "{token}", 3)) + 1, LEN(Table2[[#This Row],[Player]]))</f>
        <v>WR</v>
      </c>
      <c r="F43" s="6" t="s">
        <v>63</v>
      </c>
      <c r="G43" s="7">
        <v>20</v>
      </c>
      <c r="H43" s="8" t="s">
        <v>24</v>
      </c>
    </row>
    <row r="44" spans="1:8" ht="16.5">
      <c r="A44" s="5">
        <v>46</v>
      </c>
      <c r="B44">
        <f>B43+1</f>
        <v>43</v>
      </c>
      <c r="C44">
        <f>C32+1</f>
        <v>4</v>
      </c>
      <c r="D44" s="13">
        <v>7</v>
      </c>
      <c r="E44" s="13" t="str">
        <f>MID(LEFT(Table2[[#This Row],[Player]], FIND(")", Table2[[#This Row],[Player]]) - 1), FIND("{token}", SUBSTITUTE(Table2[[#This Row],[Player]], " ", "{token}", 3)) + 1, LEN(Table2[[#This Row],[Player]]))</f>
        <v>QB</v>
      </c>
      <c r="F44" s="6" t="s">
        <v>64</v>
      </c>
      <c r="G44" s="7">
        <v>20</v>
      </c>
      <c r="H44" s="8" t="s">
        <v>40</v>
      </c>
    </row>
    <row r="45" spans="1:8" ht="16.5">
      <c r="A45" s="5">
        <v>47</v>
      </c>
      <c r="B45">
        <f>B44+1</f>
        <v>44</v>
      </c>
      <c r="C45">
        <f>C33+1</f>
        <v>4</v>
      </c>
      <c r="D45" s="13">
        <v>8</v>
      </c>
      <c r="E45" s="13" t="str">
        <f>MID(LEFT(Table2[[#This Row],[Player]], FIND(")", Table2[[#This Row],[Player]]) - 1), FIND("{token}", SUBSTITUTE(Table2[[#This Row],[Player]], " ", "{token}", 3)) + 1, LEN(Table2[[#This Row],[Player]]))</f>
        <v>QB</v>
      </c>
      <c r="F45" s="6" t="s">
        <v>65</v>
      </c>
      <c r="G45" s="7">
        <v>20</v>
      </c>
      <c r="H45" s="8" t="s">
        <v>50</v>
      </c>
    </row>
    <row r="46" spans="1:8" ht="16.5">
      <c r="A46" s="5">
        <v>53</v>
      </c>
      <c r="B46">
        <f>B45+1</f>
        <v>45</v>
      </c>
      <c r="C46">
        <f>C34+1</f>
        <v>4</v>
      </c>
      <c r="D46" s="13">
        <v>9</v>
      </c>
      <c r="E46" s="13" t="str">
        <f>MID(LEFT(Table2[[#This Row],[Player]], FIND(")", Table2[[#This Row],[Player]]) - 1), FIND("{token}", SUBSTITUTE(Table2[[#This Row],[Player]], " ", "{token}", 3)) + 1, LEN(Table2[[#This Row],[Player]]))</f>
        <v>WR</v>
      </c>
      <c r="F46" s="6" t="s">
        <v>66</v>
      </c>
      <c r="G46" s="7">
        <v>20</v>
      </c>
      <c r="H46" s="8" t="s">
        <v>42</v>
      </c>
    </row>
    <row r="47" spans="1:8" ht="16.5">
      <c r="A47" s="5">
        <v>94</v>
      </c>
      <c r="B47">
        <f>B46+1</f>
        <v>46</v>
      </c>
      <c r="C47">
        <f>C35+1</f>
        <v>4</v>
      </c>
      <c r="D47" s="13">
        <v>10</v>
      </c>
      <c r="E47" s="13" t="str">
        <f>MID(LEFT(Table2[[#This Row],[Player]], FIND(")", Table2[[#This Row],[Player]]) - 1), FIND("{token}", SUBSTITUTE(Table2[[#This Row],[Player]], " ", "{token}", 3)) + 1, LEN(Table2[[#This Row],[Player]]))</f>
        <v>WR</v>
      </c>
      <c r="F47" s="6" t="s">
        <v>67</v>
      </c>
      <c r="G47" s="7">
        <v>20</v>
      </c>
      <c r="H47" s="8" t="s">
        <v>40</v>
      </c>
    </row>
    <row r="48" spans="1:8" ht="16.5">
      <c r="A48" s="5">
        <v>48</v>
      </c>
      <c r="B48">
        <f>B47+1</f>
        <v>47</v>
      </c>
      <c r="C48">
        <f>C36+1</f>
        <v>4</v>
      </c>
      <c r="D48" s="13">
        <v>11</v>
      </c>
      <c r="E48" s="13" t="str">
        <f>MID(LEFT(Table2[[#This Row],[Player]], FIND(")", Table2[[#This Row],[Player]]) - 1), FIND("{token}", SUBSTITUTE(Table2[[#This Row],[Player]], " ", "{token}", 3)) + 1, LEN(Table2[[#This Row],[Player]]))</f>
        <v>RB</v>
      </c>
      <c r="F48" s="6" t="s">
        <v>68</v>
      </c>
      <c r="G48" s="7">
        <v>18</v>
      </c>
      <c r="H48" s="8" t="s">
        <v>13</v>
      </c>
    </row>
    <row r="49" spans="1:8" ht="16.5">
      <c r="A49" s="5">
        <v>49</v>
      </c>
      <c r="B49">
        <f>B48+1</f>
        <v>48</v>
      </c>
      <c r="C49">
        <f>C37+1</f>
        <v>4</v>
      </c>
      <c r="D49" s="13">
        <v>12</v>
      </c>
      <c r="E49" s="13" t="str">
        <f>MID(LEFT(Table2[[#This Row],[Player]], FIND(")", Table2[[#This Row],[Player]]) - 1), FIND("{token}", SUBSTITUTE(Table2[[#This Row],[Player]], " ", "{token}", 3)) + 1, LEN(Table2[[#This Row],[Player]]))</f>
        <v>TE</v>
      </c>
      <c r="F49" s="6" t="s">
        <v>69</v>
      </c>
      <c r="G49" s="7">
        <v>17</v>
      </c>
      <c r="H49" s="8" t="s">
        <v>13</v>
      </c>
    </row>
    <row r="50" spans="1:8" ht="16.5">
      <c r="A50" s="5">
        <v>43</v>
      </c>
      <c r="B50">
        <f>B49+1</f>
        <v>49</v>
      </c>
      <c r="C50">
        <f>C38+1</f>
        <v>5</v>
      </c>
      <c r="D50" s="13">
        <v>1</v>
      </c>
      <c r="E50" s="13" t="str">
        <f>MID(LEFT(Table2[[#This Row],[Player]], FIND(")", Table2[[#This Row],[Player]]) - 1), FIND("{token}", SUBSTITUTE(Table2[[#This Row],[Player]], " ", "{token}", 3)) + 1, LEN(Table2[[#This Row],[Player]]))</f>
        <v>QB</v>
      </c>
      <c r="F50" s="6" t="s">
        <v>70</v>
      </c>
      <c r="G50" s="7">
        <v>16</v>
      </c>
      <c r="H50" s="8" t="s">
        <v>28</v>
      </c>
    </row>
    <row r="51" spans="1:8" ht="16.5">
      <c r="A51" s="5">
        <v>60</v>
      </c>
      <c r="B51">
        <f>B50+1</f>
        <v>50</v>
      </c>
      <c r="C51">
        <f>C39+1</f>
        <v>5</v>
      </c>
      <c r="D51" s="13">
        <v>2</v>
      </c>
      <c r="E51" s="13" t="str">
        <f>MID(LEFT(Table2[[#This Row],[Player]], FIND(")", Table2[[#This Row],[Player]]) - 1), FIND("{token}", SUBSTITUTE(Table2[[#This Row],[Player]], " ", "{token}", 3)) + 1, LEN(Table2[[#This Row],[Player]]))</f>
        <v>RB</v>
      </c>
      <c r="F51" s="6" t="s">
        <v>71</v>
      </c>
      <c r="G51" s="7">
        <v>16</v>
      </c>
      <c r="H51" s="8" t="s">
        <v>50</v>
      </c>
    </row>
    <row r="52" spans="1:8" ht="16.5">
      <c r="A52" s="5">
        <v>56</v>
      </c>
      <c r="B52">
        <f>B51+1</f>
        <v>51</v>
      </c>
      <c r="C52">
        <f>C40+1</f>
        <v>5</v>
      </c>
      <c r="D52" s="13">
        <v>3</v>
      </c>
      <c r="E52" s="13" t="s">
        <v>21</v>
      </c>
      <c r="F52" s="6" t="s">
        <v>72</v>
      </c>
      <c r="G52" s="7">
        <v>15</v>
      </c>
      <c r="H52" s="8" t="s">
        <v>31</v>
      </c>
    </row>
    <row r="53" spans="1:8" ht="16.5">
      <c r="A53" s="5">
        <v>24</v>
      </c>
      <c r="B53">
        <f>B52+1</f>
        <v>52</v>
      </c>
      <c r="C53">
        <f>C41+1</f>
        <v>5</v>
      </c>
      <c r="D53" s="13">
        <v>4</v>
      </c>
      <c r="E53" s="13" t="str">
        <f>MID(LEFT(Table2[[#This Row],[Player]], FIND(")", Table2[[#This Row],[Player]]) - 1), FIND("{token}", SUBSTITUTE(Table2[[#This Row],[Player]], " ", "{token}", 3)) + 1, LEN(Table2[[#This Row],[Player]]))</f>
        <v>QB</v>
      </c>
      <c r="F53" s="6" t="s">
        <v>73</v>
      </c>
      <c r="G53" s="7">
        <v>13</v>
      </c>
      <c r="H53" s="8" t="s">
        <v>31</v>
      </c>
    </row>
    <row r="54" spans="1:8" ht="16.5">
      <c r="A54" s="5">
        <v>52</v>
      </c>
      <c r="B54">
        <f>B53+1</f>
        <v>53</v>
      </c>
      <c r="C54">
        <f>C42+1</f>
        <v>5</v>
      </c>
      <c r="D54" s="13">
        <v>5</v>
      </c>
      <c r="E54" s="13" t="str">
        <f>MID(LEFT(Table2[[#This Row],[Player]], FIND(")", Table2[[#This Row],[Player]]) - 1), FIND("{token}", SUBSTITUTE(Table2[[#This Row],[Player]], " ", "{token}", 3)) + 1, LEN(Table2[[#This Row],[Player]]))</f>
        <v>WR</v>
      </c>
      <c r="F54" s="6" t="s">
        <v>74</v>
      </c>
      <c r="G54" s="7">
        <v>13</v>
      </c>
      <c r="H54" s="8" t="s">
        <v>9</v>
      </c>
    </row>
    <row r="55" spans="1:8" ht="16.5">
      <c r="A55" s="5">
        <v>61</v>
      </c>
      <c r="B55">
        <f>B54+1</f>
        <v>54</v>
      </c>
      <c r="C55">
        <f>C43+1</f>
        <v>5</v>
      </c>
      <c r="D55" s="13">
        <v>6</v>
      </c>
      <c r="E55" s="13" t="str">
        <f>MID(LEFT(Table2[[#This Row],[Player]], FIND(")", Table2[[#This Row],[Player]]) - 1), FIND("{token}", SUBSTITUTE(Table2[[#This Row],[Player]], " ", "{token}", 3)) + 1, LEN(Table2[[#This Row],[Player]]))</f>
        <v>TE</v>
      </c>
      <c r="F55" s="6" t="s">
        <v>75</v>
      </c>
      <c r="G55" s="7">
        <v>13</v>
      </c>
      <c r="H55" s="8" t="s">
        <v>42</v>
      </c>
    </row>
    <row r="56" spans="1:8" ht="16.5">
      <c r="A56" s="5">
        <v>74</v>
      </c>
      <c r="B56">
        <f>B55+1</f>
        <v>55</v>
      </c>
      <c r="C56">
        <f>C44+1</f>
        <v>5</v>
      </c>
      <c r="D56" s="13">
        <v>7</v>
      </c>
      <c r="E56" s="13" t="str">
        <f>MID(LEFT(Table2[[#This Row],[Player]], FIND(")", Table2[[#This Row],[Player]]) - 1), FIND("{token}", SUBSTITUTE(Table2[[#This Row],[Player]], " ", "{token}", 3)) + 1, LEN(Table2[[#This Row],[Player]]))</f>
        <v>WR</v>
      </c>
      <c r="F56" s="6" t="s">
        <v>76</v>
      </c>
      <c r="G56" s="7">
        <v>13</v>
      </c>
      <c r="H56" s="8" t="s">
        <v>50</v>
      </c>
    </row>
    <row r="57" spans="1:8" ht="16.5">
      <c r="A57" s="5">
        <v>88</v>
      </c>
      <c r="B57">
        <f>B56+1</f>
        <v>56</v>
      </c>
      <c r="C57">
        <f>C45+1</f>
        <v>5</v>
      </c>
      <c r="D57" s="13">
        <v>8</v>
      </c>
      <c r="E57" s="13" t="str">
        <f>MID(LEFT(Table2[[#This Row],[Player]], FIND(")", Table2[[#This Row],[Player]]) - 1), FIND("{token}", SUBSTITUTE(Table2[[#This Row],[Player]], " ", "{token}", 3)) + 1, LEN(Table2[[#This Row],[Player]]))</f>
        <v>WR</v>
      </c>
      <c r="F57" s="6" t="s">
        <v>77</v>
      </c>
      <c r="G57" s="7">
        <v>13</v>
      </c>
      <c r="H57" s="8" t="s">
        <v>40</v>
      </c>
    </row>
    <row r="58" spans="1:8" ht="16.5">
      <c r="A58" s="5">
        <v>123</v>
      </c>
      <c r="B58">
        <f>B57+1</f>
        <v>57</v>
      </c>
      <c r="C58">
        <f>C46+1</f>
        <v>5</v>
      </c>
      <c r="D58" s="13">
        <v>9</v>
      </c>
      <c r="E58" s="13" t="str">
        <f>MID(LEFT(Table2[[#This Row],[Player]], FIND(")", Table2[[#This Row],[Player]]) - 1), FIND("{token}", SUBSTITUTE(Table2[[#This Row],[Player]], " ", "{token}", 3)) + 1, LEN(Table2[[#This Row],[Player]]))</f>
        <v>WR</v>
      </c>
      <c r="F58" s="6" t="s">
        <v>78</v>
      </c>
      <c r="G58" s="7">
        <v>13</v>
      </c>
      <c r="H58" s="8" t="s">
        <v>28</v>
      </c>
    </row>
    <row r="59" spans="1:8" ht="16.5">
      <c r="A59" s="5">
        <v>99</v>
      </c>
      <c r="B59">
        <f>B58+1</f>
        <v>58</v>
      </c>
      <c r="C59">
        <f>C47+1</f>
        <v>5</v>
      </c>
      <c r="D59" s="13">
        <v>10</v>
      </c>
      <c r="E59" s="13" t="str">
        <f>MID(LEFT(Table2[[#This Row],[Player]], FIND(")", Table2[[#This Row],[Player]]) - 1), FIND("{token}", SUBSTITUTE(Table2[[#This Row],[Player]], " ", "{token}", 3)) + 1, LEN(Table2[[#This Row],[Player]]))</f>
        <v>WR</v>
      </c>
      <c r="F59" s="6" t="s">
        <v>79</v>
      </c>
      <c r="G59" s="7">
        <v>12</v>
      </c>
      <c r="H59" s="8" t="s">
        <v>19</v>
      </c>
    </row>
    <row r="60" spans="1:8" ht="16.5">
      <c r="A60" s="5">
        <v>106</v>
      </c>
      <c r="B60">
        <f>B59+1</f>
        <v>59</v>
      </c>
      <c r="C60">
        <f>C48+1</f>
        <v>5</v>
      </c>
      <c r="D60" s="13">
        <v>11</v>
      </c>
      <c r="E60" s="13" t="str">
        <f>MID(LEFT(Table2[[#This Row],[Player]], FIND(")", Table2[[#This Row],[Player]]) - 1), FIND("{token}", SUBSTITUTE(Table2[[#This Row],[Player]], " ", "{token}", 3)) + 1, LEN(Table2[[#This Row],[Player]]))</f>
        <v>WR</v>
      </c>
      <c r="F60" s="6" t="s">
        <v>80</v>
      </c>
      <c r="G60" s="7">
        <v>11</v>
      </c>
      <c r="H60" s="8" t="s">
        <v>31</v>
      </c>
    </row>
    <row r="61" spans="1:8" ht="16.5">
      <c r="A61" s="5">
        <v>136</v>
      </c>
      <c r="B61">
        <f>B60+1</f>
        <v>60</v>
      </c>
      <c r="C61">
        <f>C49+1</f>
        <v>5</v>
      </c>
      <c r="D61" s="13">
        <v>12</v>
      </c>
      <c r="E61" s="13" t="str">
        <f>MID(LEFT(Table2[[#This Row],[Player]], FIND(")", Table2[[#This Row],[Player]]) - 1), FIND("{token}", SUBSTITUTE(Table2[[#This Row],[Player]], " ", "{token}", 3)) + 1, LEN(Table2[[#This Row],[Player]]))</f>
        <v>WR</v>
      </c>
      <c r="F61" s="6" t="s">
        <v>81</v>
      </c>
      <c r="G61" s="7">
        <v>11</v>
      </c>
      <c r="H61" s="8" t="s">
        <v>9</v>
      </c>
    </row>
    <row r="62" spans="1:8" ht="16.5">
      <c r="A62" s="5">
        <v>36</v>
      </c>
      <c r="B62">
        <f>B61+1</f>
        <v>61</v>
      </c>
      <c r="C62">
        <f>C50+1</f>
        <v>6</v>
      </c>
      <c r="D62" s="13">
        <v>1</v>
      </c>
      <c r="E62" s="13" t="str">
        <f>MID(LEFT(Table2[[#This Row],[Player]], FIND(")", Table2[[#This Row],[Player]]) - 1), FIND("{token}", SUBSTITUTE(Table2[[#This Row],[Player]], " ", "{token}", 3)) + 1, LEN(Table2[[#This Row],[Player]]))</f>
        <v>RB</v>
      </c>
      <c r="F62" s="6" t="s">
        <v>82</v>
      </c>
      <c r="G62" s="7">
        <v>10</v>
      </c>
      <c r="H62" s="8" t="s">
        <v>50</v>
      </c>
    </row>
    <row r="63" spans="1:8" ht="16.5">
      <c r="A63" s="5">
        <v>38</v>
      </c>
      <c r="B63">
        <f>B62+1</f>
        <v>62</v>
      </c>
      <c r="C63">
        <f>C51+1</f>
        <v>6</v>
      </c>
      <c r="D63" s="13">
        <v>2</v>
      </c>
      <c r="E63" s="13" t="str">
        <f>MID(LEFT(Table2[[#This Row],[Player]], FIND(")", Table2[[#This Row],[Player]]) - 1), FIND("{token}", SUBSTITUTE(Table2[[#This Row],[Player]], " ", "{token}", 3)) + 1, LEN(Table2[[#This Row],[Player]]))</f>
        <v>QB</v>
      </c>
      <c r="F63" s="6" t="s">
        <v>83</v>
      </c>
      <c r="G63" s="7">
        <v>10</v>
      </c>
      <c r="H63" s="8" t="s">
        <v>24</v>
      </c>
    </row>
    <row r="64" spans="1:8" ht="16.5">
      <c r="A64" s="5">
        <v>50</v>
      </c>
      <c r="B64">
        <f>B63+1</f>
        <v>63</v>
      </c>
      <c r="C64">
        <f>C52+1</f>
        <v>6</v>
      </c>
      <c r="D64" s="13">
        <v>3</v>
      </c>
      <c r="E64" s="13" t="str">
        <f>MID(LEFT(Table2[[#This Row],[Player]], FIND(")", Table2[[#This Row],[Player]]) - 1), FIND("{token}", SUBSTITUTE(Table2[[#This Row],[Player]], " ", "{token}", 3)) + 1, LEN(Table2[[#This Row],[Player]]))</f>
        <v>QB</v>
      </c>
      <c r="F64" s="6" t="s">
        <v>84</v>
      </c>
      <c r="G64" s="7">
        <v>10</v>
      </c>
      <c r="H64" s="8" t="s">
        <v>9</v>
      </c>
    </row>
    <row r="65" spans="1:8" ht="16.5">
      <c r="A65" s="5">
        <v>62</v>
      </c>
      <c r="B65">
        <f>B64+1</f>
        <v>64</v>
      </c>
      <c r="C65">
        <f>C53+1</f>
        <v>6</v>
      </c>
      <c r="D65" s="13">
        <v>4</v>
      </c>
      <c r="E65" s="13" t="str">
        <f>MID(LEFT(Table2[[#This Row],[Player]], FIND(")", Table2[[#This Row],[Player]]) - 1), FIND("{token}", SUBSTITUTE(Table2[[#This Row],[Player]], " ", "{token}", 3)) + 1, LEN(Table2[[#This Row],[Player]]))</f>
        <v>QB</v>
      </c>
      <c r="F65" s="6" t="s">
        <v>85</v>
      </c>
      <c r="G65" s="7">
        <v>9</v>
      </c>
      <c r="H65" s="8" t="s">
        <v>28</v>
      </c>
    </row>
    <row r="66" spans="1:8" ht="16.5">
      <c r="A66" s="5">
        <v>65</v>
      </c>
      <c r="B66">
        <f>B65+1</f>
        <v>65</v>
      </c>
      <c r="C66">
        <f>C54+1</f>
        <v>6</v>
      </c>
      <c r="D66" s="13">
        <v>5</v>
      </c>
      <c r="E66" s="13" t="str">
        <f>MID(LEFT(Table2[[#This Row],[Player]], FIND(")", Table2[[#This Row],[Player]]) - 1), FIND("{token}", SUBSTITUTE(Table2[[#This Row],[Player]], " ", "{token}", 3)) + 1, LEN(Table2[[#This Row],[Player]]))</f>
        <v>QB</v>
      </c>
      <c r="F66" s="6" t="s">
        <v>86</v>
      </c>
      <c r="G66" s="7">
        <v>9</v>
      </c>
      <c r="H66" s="8" t="s">
        <v>11</v>
      </c>
    </row>
    <row r="67" spans="1:8" ht="16.5">
      <c r="A67" s="5">
        <v>71</v>
      </c>
      <c r="B67">
        <f>B66+1</f>
        <v>66</v>
      </c>
      <c r="C67">
        <f>C55+1</f>
        <v>6</v>
      </c>
      <c r="D67" s="13">
        <v>6</v>
      </c>
      <c r="E67" s="13" t="str">
        <f>MID(LEFT(Table2[[#This Row],[Player]], FIND(")", Table2[[#This Row],[Player]]) - 1), FIND("{token}", SUBSTITUTE(Table2[[#This Row],[Player]], " ", "{token}", 3)) + 1, LEN(Table2[[#This Row],[Player]]))</f>
        <v>RB</v>
      </c>
      <c r="F67" s="6" t="s">
        <v>87</v>
      </c>
      <c r="G67" s="7">
        <v>9</v>
      </c>
      <c r="H67" s="8" t="s">
        <v>50</v>
      </c>
    </row>
    <row r="68" spans="1:8" ht="16.5">
      <c r="A68" s="5">
        <v>77</v>
      </c>
      <c r="B68">
        <f>B67+1</f>
        <v>67</v>
      </c>
      <c r="C68">
        <f>C56+1</f>
        <v>6</v>
      </c>
      <c r="D68" s="13">
        <v>7</v>
      </c>
      <c r="E68" s="13" t="str">
        <f>MID(LEFT(Table2[[#This Row],[Player]], FIND(")", Table2[[#This Row],[Player]]) - 1), FIND("{token}", SUBSTITUTE(Table2[[#This Row],[Player]], " ", "{token}", 3)) + 1, LEN(Table2[[#This Row],[Player]]))</f>
        <v>TE</v>
      </c>
      <c r="F68" s="6" t="s">
        <v>88</v>
      </c>
      <c r="G68" s="7">
        <v>9</v>
      </c>
      <c r="H68" s="8" t="s">
        <v>31</v>
      </c>
    </row>
    <row r="69" spans="1:8" ht="16.5">
      <c r="A69" s="5">
        <v>87</v>
      </c>
      <c r="B69">
        <f>B68+1</f>
        <v>68</v>
      </c>
      <c r="C69">
        <f>C57+1</f>
        <v>6</v>
      </c>
      <c r="D69" s="13">
        <v>8</v>
      </c>
      <c r="E69" s="13" t="str">
        <f>MID(LEFT(Table2[[#This Row],[Player]], FIND(")", Table2[[#This Row],[Player]]) - 1), FIND("{token}", SUBSTITUTE(Table2[[#This Row],[Player]], " ", "{token}", 3)) + 1, LEN(Table2[[#This Row],[Player]]))</f>
        <v>WR</v>
      </c>
      <c r="F69" s="6" t="s">
        <v>89</v>
      </c>
      <c r="G69" s="7">
        <v>9</v>
      </c>
      <c r="H69" s="8" t="s">
        <v>40</v>
      </c>
    </row>
    <row r="70" spans="1:8" ht="16.5">
      <c r="A70" s="5">
        <v>127</v>
      </c>
      <c r="B70">
        <f>B69+1</f>
        <v>69</v>
      </c>
      <c r="C70">
        <f>C58+1</f>
        <v>6</v>
      </c>
      <c r="D70" s="13">
        <v>9</v>
      </c>
      <c r="E70" s="13" t="str">
        <f>MID(LEFT(Table2[[#This Row],[Player]], FIND(")", Table2[[#This Row],[Player]]) - 1), FIND("{token}", SUBSTITUTE(Table2[[#This Row],[Player]], " ", "{token}", 3)) + 1, LEN(Table2[[#This Row],[Player]]))</f>
        <v>WR</v>
      </c>
      <c r="F70" s="6" t="s">
        <v>90</v>
      </c>
      <c r="G70" s="7">
        <v>9</v>
      </c>
      <c r="H70" s="8" t="s">
        <v>28</v>
      </c>
    </row>
    <row r="71" spans="1:8" ht="16.5">
      <c r="A71" s="5">
        <v>133</v>
      </c>
      <c r="B71">
        <f>B70+1</f>
        <v>70</v>
      </c>
      <c r="C71">
        <f>C59+1</f>
        <v>6</v>
      </c>
      <c r="D71" s="13">
        <v>10</v>
      </c>
      <c r="E71" s="13" t="str">
        <f>MID(LEFT(Table2[[#This Row],[Player]], FIND(")", Table2[[#This Row],[Player]]) - 1), FIND("{token}", SUBSTITUTE(Table2[[#This Row],[Player]], " ", "{token}", 3)) + 1, LEN(Table2[[#This Row],[Player]]))</f>
        <v>WR</v>
      </c>
      <c r="F71" s="6" t="s">
        <v>91</v>
      </c>
      <c r="G71" s="7">
        <v>9</v>
      </c>
      <c r="H71" s="8" t="s">
        <v>17</v>
      </c>
    </row>
    <row r="72" spans="1:8" ht="16.5">
      <c r="A72" s="5">
        <v>159</v>
      </c>
      <c r="B72">
        <f>B71+1</f>
        <v>71</v>
      </c>
      <c r="C72">
        <f>C60+1</f>
        <v>6</v>
      </c>
      <c r="D72" s="13">
        <v>11</v>
      </c>
      <c r="E72" s="13" t="str">
        <f>MID(LEFT(Table2[[#This Row],[Player]], FIND(")", Table2[[#This Row],[Player]]) - 1), FIND("{token}", SUBSTITUTE(Table2[[#This Row],[Player]], " ", "{token}", 3)) + 1, LEN(Table2[[#This Row],[Player]]))</f>
        <v>WR</v>
      </c>
      <c r="F72" s="6" t="s">
        <v>92</v>
      </c>
      <c r="G72" s="7">
        <v>9</v>
      </c>
      <c r="H72" s="8" t="s">
        <v>15</v>
      </c>
    </row>
    <row r="73" spans="1:8" ht="16.5">
      <c r="A73" s="5">
        <v>75</v>
      </c>
      <c r="B73">
        <f>B72+1</f>
        <v>72</v>
      </c>
      <c r="C73">
        <f>C61+1</f>
        <v>6</v>
      </c>
      <c r="D73" s="13">
        <v>12</v>
      </c>
      <c r="E73" s="13" t="str">
        <f>MID(LEFT(Table2[[#This Row],[Player]], FIND(")", Table2[[#This Row],[Player]]) - 1), FIND("{token}", SUBSTITUTE(Table2[[#This Row],[Player]], " ", "{token}", 3)) + 1, LEN(Table2[[#This Row],[Player]]))</f>
        <v>RB</v>
      </c>
      <c r="F73" s="6" t="s">
        <v>93</v>
      </c>
      <c r="G73" s="7">
        <v>8</v>
      </c>
      <c r="H73" s="8" t="s">
        <v>15</v>
      </c>
    </row>
    <row r="74" spans="1:8" ht="16.5">
      <c r="A74" s="5">
        <v>72</v>
      </c>
      <c r="B74">
        <f>B73+1</f>
        <v>73</v>
      </c>
      <c r="C74">
        <f>C62+1</f>
        <v>7</v>
      </c>
      <c r="D74" s="13">
        <v>1</v>
      </c>
      <c r="E74" s="13" t="str">
        <f>MID(LEFT(Table2[[#This Row],[Player]], FIND(")", Table2[[#This Row],[Player]]) - 1), FIND("{token}", SUBSTITUTE(Table2[[#This Row],[Player]], " ", "{token}", 3)) + 1, LEN(Table2[[#This Row],[Player]]))</f>
        <v>RB</v>
      </c>
      <c r="F74" s="6" t="s">
        <v>94</v>
      </c>
      <c r="G74" s="7">
        <v>7</v>
      </c>
      <c r="H74" s="8" t="s">
        <v>40</v>
      </c>
    </row>
    <row r="75" spans="1:8" ht="16.5">
      <c r="A75" s="5">
        <v>80</v>
      </c>
      <c r="B75">
        <f>B74+1</f>
        <v>74</v>
      </c>
      <c r="C75">
        <f>C63+1</f>
        <v>7</v>
      </c>
      <c r="D75" s="13">
        <v>2</v>
      </c>
      <c r="E75" s="13" t="str">
        <f>MID(LEFT(Table2[[#This Row],[Player]], FIND(")", Table2[[#This Row],[Player]]) - 1), FIND("{token}", SUBSTITUTE(Table2[[#This Row],[Player]], " ", "{token}", 3)) + 1, LEN(Table2[[#This Row],[Player]]))</f>
        <v>WR</v>
      </c>
      <c r="F75" s="6" t="s">
        <v>95</v>
      </c>
      <c r="G75" s="7">
        <v>7</v>
      </c>
      <c r="H75" s="8" t="s">
        <v>9</v>
      </c>
    </row>
    <row r="76" spans="1:8" ht="16.5">
      <c r="A76" s="5">
        <v>81</v>
      </c>
      <c r="B76">
        <f>B75+1</f>
        <v>75</v>
      </c>
      <c r="C76">
        <f>C64+1</f>
        <v>7</v>
      </c>
      <c r="D76" s="13">
        <v>3</v>
      </c>
      <c r="E76" s="13" t="str">
        <f>MID(LEFT(Table2[[#This Row],[Player]], FIND(")", Table2[[#This Row],[Player]]) - 1), FIND("{token}", SUBSTITUTE(Table2[[#This Row],[Player]], " ", "{token}", 3)) + 1, LEN(Table2[[#This Row],[Player]]))</f>
        <v>RB</v>
      </c>
      <c r="F76" s="6" t="s">
        <v>96</v>
      </c>
      <c r="G76" s="7">
        <v>7</v>
      </c>
      <c r="H76" s="8" t="s">
        <v>31</v>
      </c>
    </row>
    <row r="77" spans="1:8" ht="16.5">
      <c r="A77" s="5">
        <v>91</v>
      </c>
      <c r="B77">
        <f>B76+1</f>
        <v>76</v>
      </c>
      <c r="C77">
        <f>C65+1</f>
        <v>7</v>
      </c>
      <c r="D77" s="13">
        <v>4</v>
      </c>
      <c r="E77" s="13" t="str">
        <f>MID(LEFT(Table2[[#This Row],[Player]], FIND(")", Table2[[#This Row],[Player]]) - 1), FIND("{token}", SUBSTITUTE(Table2[[#This Row],[Player]], " ", "{token}", 3)) + 1, LEN(Table2[[#This Row],[Player]]))</f>
        <v>QB</v>
      </c>
      <c r="F77" s="6" t="s">
        <v>97</v>
      </c>
      <c r="G77" s="7">
        <v>7</v>
      </c>
      <c r="H77" s="8" t="s">
        <v>17</v>
      </c>
    </row>
    <row r="78" spans="1:8" ht="16.5">
      <c r="A78" s="5">
        <v>89</v>
      </c>
      <c r="B78">
        <f>B77+1</f>
        <v>77</v>
      </c>
      <c r="C78">
        <f>C66+1</f>
        <v>7</v>
      </c>
      <c r="D78" s="13">
        <v>5</v>
      </c>
      <c r="E78" s="13" t="str">
        <f>MID(LEFT(Table2[[#This Row],[Player]], FIND(")", Table2[[#This Row],[Player]]) - 1), FIND("{token}", SUBSTITUTE(Table2[[#This Row],[Player]], " ", "{token}", 3)) + 1, LEN(Table2[[#This Row],[Player]]))</f>
        <v>RB</v>
      </c>
      <c r="F78" s="6" t="s">
        <v>98</v>
      </c>
      <c r="G78" s="7">
        <v>6</v>
      </c>
      <c r="H78" s="8" t="s">
        <v>31</v>
      </c>
    </row>
    <row r="79" spans="1:8" ht="16.5">
      <c r="A79" s="5">
        <v>100</v>
      </c>
      <c r="B79">
        <f>B78+1</f>
        <v>78</v>
      </c>
      <c r="C79">
        <f>C67+1</f>
        <v>7</v>
      </c>
      <c r="D79" s="13">
        <v>6</v>
      </c>
      <c r="E79" s="13" t="str">
        <f>MID(LEFT(Table2[[#This Row],[Player]], FIND(")", Table2[[#This Row],[Player]]) - 1), FIND("{token}", SUBSTITUTE(Table2[[#This Row],[Player]], " ", "{token}", 3)) + 1, LEN(Table2[[#This Row],[Player]]))</f>
        <v>WR</v>
      </c>
      <c r="F79" s="6" t="s">
        <v>99</v>
      </c>
      <c r="G79" s="7">
        <v>6</v>
      </c>
      <c r="H79" s="8" t="s">
        <v>9</v>
      </c>
    </row>
    <row r="80" spans="1:8" ht="16.5">
      <c r="A80" s="5">
        <v>101</v>
      </c>
      <c r="B80">
        <f>B79+1</f>
        <v>79</v>
      </c>
      <c r="C80">
        <f>C68+1</f>
        <v>7</v>
      </c>
      <c r="D80" s="13">
        <v>7</v>
      </c>
      <c r="E80" s="13" t="str">
        <f>MID(LEFT(Table2[[#This Row],[Player]], FIND(")", Table2[[#This Row],[Player]]) - 1), FIND("{token}", SUBSTITUTE(Table2[[#This Row],[Player]], " ", "{token}", 3)) + 1, LEN(Table2[[#This Row],[Player]]))</f>
        <v>WR</v>
      </c>
      <c r="F80" s="6" t="s">
        <v>100</v>
      </c>
      <c r="G80" s="7">
        <v>6</v>
      </c>
      <c r="H80" s="8" t="s">
        <v>15</v>
      </c>
    </row>
    <row r="81" spans="1:8" ht="16.5">
      <c r="A81" s="5">
        <v>178</v>
      </c>
      <c r="B81">
        <f>B80+1</f>
        <v>80</v>
      </c>
      <c r="C81">
        <f>C69+1</f>
        <v>7</v>
      </c>
      <c r="D81" s="13">
        <v>8</v>
      </c>
      <c r="E81" s="13" t="str">
        <f>MID(LEFT(Table2[[#This Row],[Player]], FIND(")", Table2[[#This Row],[Player]]) - 1), FIND("{token}", SUBSTITUTE(Table2[[#This Row],[Player]], " ", "{token}", 3)) + 1, LEN(Table2[[#This Row],[Player]]))</f>
        <v>RB</v>
      </c>
      <c r="F81" s="6" t="s">
        <v>101</v>
      </c>
      <c r="G81" s="7">
        <v>6</v>
      </c>
      <c r="H81" s="8" t="s">
        <v>17</v>
      </c>
    </row>
    <row r="82" spans="1:8" ht="16.5">
      <c r="A82" s="5">
        <v>183</v>
      </c>
      <c r="B82">
        <f>B81+1</f>
        <v>81</v>
      </c>
      <c r="C82">
        <f>C70+1</f>
        <v>7</v>
      </c>
      <c r="D82" s="13">
        <v>9</v>
      </c>
      <c r="E82" s="13" t="str">
        <f>MID(LEFT(Table2[[#This Row],[Player]], FIND(")", Table2[[#This Row],[Player]]) - 1), FIND("{token}", SUBSTITUTE(Table2[[#This Row],[Player]], " ", "{token}", 3)) + 1, LEN(Table2[[#This Row],[Player]]))</f>
        <v>K</v>
      </c>
      <c r="F82" s="6" t="s">
        <v>102</v>
      </c>
      <c r="G82" s="7">
        <v>6</v>
      </c>
      <c r="H82" s="8" t="s">
        <v>19</v>
      </c>
    </row>
    <row r="83" spans="1:8" ht="16.5">
      <c r="A83" s="5">
        <v>40</v>
      </c>
      <c r="B83">
        <f>B82+1</f>
        <v>82</v>
      </c>
      <c r="C83">
        <f>C71+1</f>
        <v>7</v>
      </c>
      <c r="D83" s="13">
        <v>10</v>
      </c>
      <c r="E83" s="13" t="s">
        <v>103</v>
      </c>
      <c r="F83" s="6" t="s">
        <v>104</v>
      </c>
      <c r="G83" s="7">
        <v>5</v>
      </c>
      <c r="H83" s="8" t="s">
        <v>9</v>
      </c>
    </row>
    <row r="84" spans="1:8" ht="16.5">
      <c r="A84" s="5">
        <v>83</v>
      </c>
      <c r="B84">
        <f>B83+1</f>
        <v>83</v>
      </c>
      <c r="C84">
        <f>C72+1</f>
        <v>7</v>
      </c>
      <c r="D84" s="13">
        <v>11</v>
      </c>
      <c r="E84" s="13" t="str">
        <f>MID(LEFT(Table2[[#This Row],[Player]], FIND(")", Table2[[#This Row],[Player]]) - 1), FIND("{token}", SUBSTITUTE(Table2[[#This Row],[Player]], " ", "{token}", 3)) + 1, LEN(Table2[[#This Row],[Player]]))</f>
        <v>TE</v>
      </c>
      <c r="F84" s="6" t="s">
        <v>105</v>
      </c>
      <c r="G84" s="7">
        <v>5</v>
      </c>
      <c r="H84" s="8" t="s">
        <v>11</v>
      </c>
    </row>
    <row r="85" spans="1:8" ht="16.5">
      <c r="A85" s="5">
        <v>84</v>
      </c>
      <c r="B85">
        <f>B84+1</f>
        <v>84</v>
      </c>
      <c r="C85">
        <f>C73+1</f>
        <v>7</v>
      </c>
      <c r="D85" s="13">
        <v>12</v>
      </c>
      <c r="E85" s="13" t="str">
        <f>MID(LEFT(Table2[[#This Row],[Player]], FIND(")", Table2[[#This Row],[Player]]) - 1), FIND("{token}", SUBSTITUTE(Table2[[#This Row],[Player]], " ", "{token}", 3)) + 1, LEN(Table2[[#This Row],[Player]]))</f>
        <v>RB</v>
      </c>
      <c r="F85" s="6" t="s">
        <v>106</v>
      </c>
      <c r="G85" s="7">
        <v>5</v>
      </c>
      <c r="H85" s="8" t="s">
        <v>24</v>
      </c>
    </row>
    <row r="86" spans="1:8" ht="16.5">
      <c r="A86" s="5">
        <v>93</v>
      </c>
      <c r="B86">
        <f>B85+1</f>
        <v>85</v>
      </c>
      <c r="C86">
        <f>C74+1</f>
        <v>8</v>
      </c>
      <c r="D86" s="13">
        <v>1</v>
      </c>
      <c r="E86" s="13" t="str">
        <f>MID(LEFT(Table2[[#This Row],[Player]], FIND(")", Table2[[#This Row],[Player]]) - 1), FIND("{token}", SUBSTITUTE(Table2[[#This Row],[Player]], " ", "{token}", 3)) + 1, LEN(Table2[[#This Row],[Player]]))</f>
        <v>RB</v>
      </c>
      <c r="F86" s="6" t="s">
        <v>107</v>
      </c>
      <c r="G86" s="7">
        <v>5</v>
      </c>
      <c r="H86" s="8" t="s">
        <v>9</v>
      </c>
    </row>
    <row r="87" spans="1:8" ht="16.5">
      <c r="A87" s="5">
        <v>95</v>
      </c>
      <c r="B87">
        <f>B86+1</f>
        <v>86</v>
      </c>
      <c r="C87">
        <f>C75+1</f>
        <v>8</v>
      </c>
      <c r="D87" s="13">
        <v>2</v>
      </c>
      <c r="E87" s="13" t="str">
        <f>MID(LEFT(Table2[[#This Row],[Player]], FIND(")", Table2[[#This Row],[Player]]) - 1), FIND("{token}", SUBSTITUTE(Table2[[#This Row],[Player]], " ", "{token}", 3)) + 1, LEN(Table2[[#This Row],[Player]]))</f>
        <v>RB</v>
      </c>
      <c r="F87" s="6" t="s">
        <v>108</v>
      </c>
      <c r="G87" s="7">
        <v>5</v>
      </c>
      <c r="H87" s="8" t="s">
        <v>50</v>
      </c>
    </row>
    <row r="88" spans="1:8" ht="16.5">
      <c r="A88" s="5">
        <v>102</v>
      </c>
      <c r="B88">
        <f>B87+1</f>
        <v>87</v>
      </c>
      <c r="C88">
        <f>C76+1</f>
        <v>8</v>
      </c>
      <c r="D88" s="13">
        <v>3</v>
      </c>
      <c r="E88" s="13" t="str">
        <f>MID(LEFT(Table2[[#This Row],[Player]], FIND(")", Table2[[#This Row],[Player]]) - 1), FIND("{token}", SUBSTITUTE(Table2[[#This Row],[Player]], " ", "{token}", 3)) + 1, LEN(Table2[[#This Row],[Player]]))</f>
        <v>TE</v>
      </c>
      <c r="F88" s="6" t="s">
        <v>109</v>
      </c>
      <c r="G88" s="7">
        <v>5</v>
      </c>
      <c r="H88" s="8" t="s">
        <v>17</v>
      </c>
    </row>
    <row r="89" spans="1:8" ht="16.5">
      <c r="A89" s="5">
        <v>109</v>
      </c>
      <c r="B89">
        <f>B88+1</f>
        <v>88</v>
      </c>
      <c r="C89">
        <f>C77+1</f>
        <v>8</v>
      </c>
      <c r="D89" s="13">
        <v>4</v>
      </c>
      <c r="E89" s="13" t="str">
        <f>MID(LEFT(Table2[[#This Row],[Player]], FIND(")", Table2[[#This Row],[Player]]) - 1), FIND("{token}", SUBSTITUTE(Table2[[#This Row],[Player]], " ", "{token}", 3)) + 1, LEN(Table2[[#This Row],[Player]]))</f>
        <v>QB</v>
      </c>
      <c r="F89" s="6" t="s">
        <v>110</v>
      </c>
      <c r="G89" s="7">
        <v>5</v>
      </c>
      <c r="H89" s="8" t="s">
        <v>19</v>
      </c>
    </row>
    <row r="90" spans="1:8" ht="16.5">
      <c r="A90" s="5">
        <v>132</v>
      </c>
      <c r="B90">
        <f>B89+1</f>
        <v>89</v>
      </c>
      <c r="C90">
        <f>C78+1</f>
        <v>8</v>
      </c>
      <c r="D90" s="13">
        <v>5</v>
      </c>
      <c r="E90" s="13" t="str">
        <f>MID(LEFT(Table2[[#This Row],[Player]], FIND(")", Table2[[#This Row],[Player]]) - 1), FIND("{token}", SUBSTITUTE(Table2[[#This Row],[Player]], " ", "{token}", 3)) + 1, LEN(Table2[[#This Row],[Player]]))</f>
        <v>RB</v>
      </c>
      <c r="F90" s="6" t="s">
        <v>111</v>
      </c>
      <c r="G90" s="7">
        <v>5</v>
      </c>
      <c r="H90" s="8" t="s">
        <v>50</v>
      </c>
    </row>
    <row r="91" spans="1:8" ht="16.5">
      <c r="A91" s="5">
        <v>138</v>
      </c>
      <c r="B91">
        <f>B90+1</f>
        <v>90</v>
      </c>
      <c r="C91">
        <f>C79+1</f>
        <v>8</v>
      </c>
      <c r="D91" s="13">
        <v>6</v>
      </c>
      <c r="E91" s="13" t="str">
        <f>MID(LEFT(Table2[[#This Row],[Player]], FIND(")", Table2[[#This Row],[Player]]) - 1), FIND("{token}", SUBSTITUTE(Table2[[#This Row],[Player]], " ", "{token}", 3)) + 1, LEN(Table2[[#This Row],[Player]]))</f>
        <v>WR</v>
      </c>
      <c r="F91" s="6" t="s">
        <v>112</v>
      </c>
      <c r="G91" s="7">
        <v>5</v>
      </c>
      <c r="H91" s="8" t="s">
        <v>50</v>
      </c>
    </row>
    <row r="92" spans="1:8" ht="16.5">
      <c r="A92" s="5">
        <v>143</v>
      </c>
      <c r="B92">
        <f>B91+1</f>
        <v>91</v>
      </c>
      <c r="C92">
        <f>C80+1</f>
        <v>8</v>
      </c>
      <c r="D92" s="13">
        <v>7</v>
      </c>
      <c r="E92" s="13" t="str">
        <f>MID(LEFT(Table2[[#This Row],[Player]], FIND(")", Table2[[#This Row],[Player]]) - 1), FIND("{token}", SUBSTITUTE(Table2[[#This Row],[Player]], " ", "{token}", 3)) + 1, LEN(Table2[[#This Row],[Player]]))</f>
        <v>RB</v>
      </c>
      <c r="F92" s="6" t="s">
        <v>113</v>
      </c>
      <c r="G92" s="7">
        <v>5</v>
      </c>
      <c r="H92" s="8" t="s">
        <v>17</v>
      </c>
    </row>
    <row r="93" spans="1:8" ht="16.5">
      <c r="A93" s="5">
        <v>96</v>
      </c>
      <c r="B93">
        <f>B92+1</f>
        <v>92</v>
      </c>
      <c r="C93">
        <f>C81+1</f>
        <v>8</v>
      </c>
      <c r="D93" s="13">
        <v>8</v>
      </c>
      <c r="E93" s="13" t="str">
        <f>MID(LEFT(Table2[[#This Row],[Player]], FIND(")", Table2[[#This Row],[Player]]) - 1), FIND("{token}", SUBSTITUTE(Table2[[#This Row],[Player]], " ", "{token}", 3)) + 1, LEN(Table2[[#This Row],[Player]]))</f>
        <v>WR</v>
      </c>
      <c r="F93" s="6" t="s">
        <v>114</v>
      </c>
      <c r="G93" s="7">
        <v>4</v>
      </c>
      <c r="H93" s="8" t="s">
        <v>31</v>
      </c>
    </row>
    <row r="94" spans="1:8" ht="16.5">
      <c r="A94" s="5">
        <v>97</v>
      </c>
      <c r="B94">
        <f>B93+1</f>
        <v>93</v>
      </c>
      <c r="C94">
        <f>C82+1</f>
        <v>8</v>
      </c>
      <c r="D94" s="13">
        <v>9</v>
      </c>
      <c r="E94" s="13" t="str">
        <f>MID(LEFT(Table2[[#This Row],[Player]], FIND(")", Table2[[#This Row],[Player]]) - 1), FIND("{token}", SUBSTITUTE(Table2[[#This Row],[Player]], " ", "{token}", 3)) + 1, LEN(Table2[[#This Row],[Player]]))</f>
        <v>RB</v>
      </c>
      <c r="F94" s="6" t="s">
        <v>115</v>
      </c>
      <c r="G94" s="7">
        <v>4</v>
      </c>
      <c r="H94" s="8" t="s">
        <v>40</v>
      </c>
    </row>
    <row r="95" spans="1:8" ht="16.5">
      <c r="A95" s="5">
        <v>103</v>
      </c>
      <c r="B95">
        <f>B94+1</f>
        <v>94</v>
      </c>
      <c r="C95">
        <f>C83+1</f>
        <v>8</v>
      </c>
      <c r="D95" s="13">
        <v>10</v>
      </c>
      <c r="E95" s="13" t="str">
        <f>MID(LEFT(Table2[[#This Row],[Player]], FIND(")", Table2[[#This Row],[Player]]) - 1), FIND("{token}", SUBSTITUTE(Table2[[#This Row],[Player]], " ", "{token}", 3)) + 1, LEN(Table2[[#This Row],[Player]]))</f>
        <v>WR</v>
      </c>
      <c r="F95" s="6" t="s">
        <v>116</v>
      </c>
      <c r="G95" s="7">
        <v>4</v>
      </c>
      <c r="H95" s="8" t="s">
        <v>28</v>
      </c>
    </row>
    <row r="96" spans="1:8" ht="16.5">
      <c r="A96" s="5">
        <v>104</v>
      </c>
      <c r="B96">
        <f>B95+1</f>
        <v>95</v>
      </c>
      <c r="C96">
        <f>C84+1</f>
        <v>8</v>
      </c>
      <c r="D96" s="13">
        <v>11</v>
      </c>
      <c r="E96" s="13" t="str">
        <f>MID(LEFT(Table2[[#This Row],[Player]], FIND(")", Table2[[#This Row],[Player]]) - 1), FIND("{token}", SUBSTITUTE(Table2[[#This Row],[Player]], " ", "{token}", 3)) + 1, LEN(Table2[[#This Row],[Player]]))</f>
        <v>TE</v>
      </c>
      <c r="F96" s="6" t="s">
        <v>117</v>
      </c>
      <c r="G96" s="7">
        <v>4</v>
      </c>
      <c r="H96" s="8" t="s">
        <v>28</v>
      </c>
    </row>
    <row r="97" spans="1:8" ht="16.5">
      <c r="A97" s="5">
        <v>105</v>
      </c>
      <c r="B97">
        <f>B96+1</f>
        <v>96</v>
      </c>
      <c r="C97">
        <f>C85+1</f>
        <v>8</v>
      </c>
      <c r="D97" s="13">
        <v>12</v>
      </c>
      <c r="E97" s="13" t="str">
        <f>MID(LEFT(Table2[[#This Row],[Player]], FIND(")", Table2[[#This Row],[Player]]) - 1), FIND("{token}", SUBSTITUTE(Table2[[#This Row],[Player]], " ", "{token}", 3)) + 1, LEN(Table2[[#This Row],[Player]]))</f>
        <v>WR</v>
      </c>
      <c r="F97" s="6" t="s">
        <v>118</v>
      </c>
      <c r="G97" s="7">
        <v>4</v>
      </c>
      <c r="H97" s="8" t="s">
        <v>15</v>
      </c>
    </row>
    <row r="98" spans="1:8" ht="16.5">
      <c r="A98" s="5">
        <v>107</v>
      </c>
      <c r="B98">
        <f>B97+1</f>
        <v>97</v>
      </c>
      <c r="C98">
        <f>C86+1</f>
        <v>9</v>
      </c>
      <c r="D98" s="13">
        <v>1</v>
      </c>
      <c r="E98" s="13" t="s">
        <v>33</v>
      </c>
      <c r="F98" s="6" t="s">
        <v>119</v>
      </c>
      <c r="G98" s="7">
        <v>4</v>
      </c>
      <c r="H98" s="8" t="s">
        <v>50</v>
      </c>
    </row>
    <row r="99" spans="1:8" ht="16.5">
      <c r="A99" s="5">
        <v>114</v>
      </c>
      <c r="B99">
        <f>B98+1</f>
        <v>98</v>
      </c>
      <c r="C99">
        <f>C87+1</f>
        <v>9</v>
      </c>
      <c r="D99" s="13">
        <v>2</v>
      </c>
      <c r="E99" s="13" t="str">
        <f>MID(LEFT(Table2[[#This Row],[Player]], FIND(")", Table2[[#This Row],[Player]]) - 1), FIND("{token}", SUBSTITUTE(Table2[[#This Row],[Player]], " ", "{token}", 3)) + 1, LEN(Table2[[#This Row],[Player]]))</f>
        <v>QB</v>
      </c>
      <c r="F99" s="6" t="s">
        <v>120</v>
      </c>
      <c r="G99" s="7">
        <v>4</v>
      </c>
      <c r="H99" s="8" t="s">
        <v>42</v>
      </c>
    </row>
    <row r="100" spans="1:8" ht="16.5">
      <c r="A100" s="5">
        <v>115</v>
      </c>
      <c r="B100">
        <f>B99+1</f>
        <v>99</v>
      </c>
      <c r="C100">
        <f>C88+1</f>
        <v>9</v>
      </c>
      <c r="D100" s="13">
        <v>3</v>
      </c>
      <c r="E100" s="13" t="str">
        <f>MID(LEFT(Table2[[#This Row],[Player]], FIND(")", Table2[[#This Row],[Player]]) - 1), FIND("{token}", SUBSTITUTE(Table2[[#This Row],[Player]], " ", "{token}", 3)) + 1, LEN(Table2[[#This Row],[Player]]))</f>
        <v>RB</v>
      </c>
      <c r="F100" s="6" t="s">
        <v>121</v>
      </c>
      <c r="G100" s="7">
        <v>4</v>
      </c>
      <c r="H100" s="8" t="s">
        <v>28</v>
      </c>
    </row>
    <row r="101" spans="1:8" ht="16.5">
      <c r="A101" s="5">
        <v>118</v>
      </c>
      <c r="B101">
        <f>B100+1</f>
        <v>100</v>
      </c>
      <c r="C101">
        <f>C89+1</f>
        <v>9</v>
      </c>
      <c r="D101" s="13">
        <v>4</v>
      </c>
      <c r="E101" s="13" t="str">
        <f>MID(LEFT(Table2[[#This Row],[Player]], FIND(")", Table2[[#This Row],[Player]]) - 1), FIND("{token}", SUBSTITUTE(Table2[[#This Row],[Player]], " ", "{token}", 3)) + 1, LEN(Table2[[#This Row],[Player]]))</f>
        <v>RB</v>
      </c>
      <c r="F101" s="6" t="s">
        <v>122</v>
      </c>
      <c r="G101" s="7">
        <v>4</v>
      </c>
      <c r="H101" s="8" t="s">
        <v>31</v>
      </c>
    </row>
    <row r="102" spans="1:8" ht="16.5">
      <c r="A102" s="5">
        <v>119</v>
      </c>
      <c r="B102">
        <f>B101+1</f>
        <v>101</v>
      </c>
      <c r="C102">
        <f>C90+1</f>
        <v>9</v>
      </c>
      <c r="D102" s="13">
        <v>5</v>
      </c>
      <c r="E102" s="13" t="str">
        <f>MID(LEFT(Table2[[#This Row],[Player]], FIND(")", Table2[[#This Row],[Player]]) - 1), FIND("{token}", SUBSTITUTE(Table2[[#This Row],[Player]], " ", "{token}", 3)) + 1, LEN(Table2[[#This Row],[Player]]))</f>
        <v>RB</v>
      </c>
      <c r="F102" s="6" t="s">
        <v>123</v>
      </c>
      <c r="G102" s="7">
        <v>4</v>
      </c>
      <c r="H102" s="8" t="s">
        <v>13</v>
      </c>
    </row>
    <row r="103" spans="1:8" ht="16.5">
      <c r="A103" s="5">
        <v>122</v>
      </c>
      <c r="B103">
        <f>B102+1</f>
        <v>102</v>
      </c>
      <c r="C103">
        <f>C91+1</f>
        <v>9</v>
      </c>
      <c r="D103" s="13">
        <v>6</v>
      </c>
      <c r="E103" s="13" t="str">
        <f>MID(LEFT(Table2[[#This Row],[Player]], FIND(")", Table2[[#This Row],[Player]]) - 1), FIND("{token}", SUBSTITUTE(Table2[[#This Row],[Player]], " ", "{token}", 3)) + 1, LEN(Table2[[#This Row],[Player]]))</f>
        <v>WR</v>
      </c>
      <c r="F103" s="6" t="s">
        <v>124</v>
      </c>
      <c r="G103" s="7">
        <v>4</v>
      </c>
      <c r="H103" s="8" t="s">
        <v>28</v>
      </c>
    </row>
    <row r="104" spans="1:8" ht="16.5">
      <c r="A104" s="5">
        <v>129</v>
      </c>
      <c r="B104">
        <f>B103+1</f>
        <v>103</v>
      </c>
      <c r="C104">
        <f>C92+1</f>
        <v>9</v>
      </c>
      <c r="D104" s="13">
        <v>7</v>
      </c>
      <c r="E104" s="13" t="str">
        <f>MID(LEFT(Table2[[#This Row],[Player]], FIND(")", Table2[[#This Row],[Player]]) - 1), FIND("{token}", SUBSTITUTE(Table2[[#This Row],[Player]], " ", "{token}", 3)) + 1, LEN(Table2[[#This Row],[Player]]))</f>
        <v>TE</v>
      </c>
      <c r="F104" s="6" t="s">
        <v>125</v>
      </c>
      <c r="G104" s="7">
        <v>4</v>
      </c>
      <c r="H104" s="8" t="s">
        <v>9</v>
      </c>
    </row>
    <row r="105" spans="1:8" ht="16.5">
      <c r="A105" s="5">
        <v>45</v>
      </c>
      <c r="B105">
        <f>B104+1</f>
        <v>104</v>
      </c>
      <c r="C105">
        <f>C93+1</f>
        <v>9</v>
      </c>
      <c r="D105" s="13">
        <v>8</v>
      </c>
      <c r="E105" s="13" t="str">
        <f>MID(LEFT(Table2[[#This Row],[Player]], FIND(")", Table2[[#This Row],[Player]]) - 1), FIND("{token}", SUBSTITUTE(Table2[[#This Row],[Player]], " ", "{token}", 3)) + 1, LEN(Table2[[#This Row],[Player]]))</f>
        <v>K</v>
      </c>
      <c r="F105" s="6" t="s">
        <v>126</v>
      </c>
      <c r="G105" s="7">
        <v>3</v>
      </c>
      <c r="H105" s="8" t="s">
        <v>28</v>
      </c>
    </row>
    <row r="106" spans="1:8" ht="16.5">
      <c r="A106" s="5">
        <v>90</v>
      </c>
      <c r="B106">
        <f>B105+1</f>
        <v>105</v>
      </c>
      <c r="C106">
        <f>C94+1</f>
        <v>9</v>
      </c>
      <c r="D106" s="13">
        <v>9</v>
      </c>
      <c r="E106" s="13" t="str">
        <f>MID(LEFT(Table2[[#This Row],[Player]], FIND(")", Table2[[#This Row],[Player]]) - 1), FIND("{token}", SUBSTITUTE(Table2[[#This Row],[Player]], " ", "{token}", 3)) + 1, LEN(Table2[[#This Row],[Player]]))</f>
        <v>RB</v>
      </c>
      <c r="F106" s="6" t="s">
        <v>127</v>
      </c>
      <c r="G106" s="7">
        <v>3</v>
      </c>
      <c r="H106" s="8" t="s">
        <v>15</v>
      </c>
    </row>
    <row r="107" spans="1:8" ht="16.5">
      <c r="A107" s="5">
        <v>112</v>
      </c>
      <c r="B107">
        <f>B106+1</f>
        <v>106</v>
      </c>
      <c r="C107">
        <f>C95+1</f>
        <v>9</v>
      </c>
      <c r="D107" s="13">
        <v>10</v>
      </c>
      <c r="E107" s="13" t="str">
        <f>MID(LEFT(Table2[[#This Row],[Player]], FIND(")", Table2[[#This Row],[Player]]) - 1), FIND("{token}", SUBSTITUTE(Table2[[#This Row],[Player]], " ", "{token}", 3)) + 1, LEN(Table2[[#This Row],[Player]]))</f>
        <v>DEF</v>
      </c>
      <c r="F107" s="6" t="s">
        <v>128</v>
      </c>
      <c r="G107" s="7">
        <v>3</v>
      </c>
      <c r="H107" s="8" t="s">
        <v>9</v>
      </c>
    </row>
    <row r="108" spans="1:8" ht="16.5">
      <c r="A108" s="5">
        <v>113</v>
      </c>
      <c r="B108">
        <f>B107+1</f>
        <v>107</v>
      </c>
      <c r="C108">
        <f>C96+1</f>
        <v>9</v>
      </c>
      <c r="D108" s="13">
        <v>11</v>
      </c>
      <c r="E108" s="13" t="str">
        <f>MID(LEFT(Table2[[#This Row],[Player]], FIND(")", Table2[[#This Row],[Player]]) - 1), FIND("{token}", SUBSTITUTE(Table2[[#This Row],[Player]], " ", "{token}", 3)) + 1, LEN(Table2[[#This Row],[Player]]))</f>
        <v>RB</v>
      </c>
      <c r="F108" s="6" t="s">
        <v>129</v>
      </c>
      <c r="G108" s="7">
        <v>3</v>
      </c>
      <c r="H108" s="8" t="s">
        <v>42</v>
      </c>
    </row>
    <row r="109" spans="1:8" ht="16.5">
      <c r="A109" s="5">
        <v>116</v>
      </c>
      <c r="B109">
        <f>B108+1</f>
        <v>108</v>
      </c>
      <c r="C109">
        <f>C97+1</f>
        <v>9</v>
      </c>
      <c r="D109" s="13">
        <v>12</v>
      </c>
      <c r="E109" s="13" t="str">
        <f>MID(LEFT(Table2[[#This Row],[Player]], FIND(")", Table2[[#This Row],[Player]]) - 1), FIND("{token}", SUBSTITUTE(Table2[[#This Row],[Player]], " ", "{token}", 3)) + 1, LEN(Table2[[#This Row],[Player]]))</f>
        <v>TE</v>
      </c>
      <c r="F109" s="6" t="s">
        <v>130</v>
      </c>
      <c r="G109" s="7">
        <v>3</v>
      </c>
      <c r="H109" s="8" t="s">
        <v>28</v>
      </c>
    </row>
    <row r="110" spans="1:8" ht="16.5">
      <c r="A110" s="5">
        <v>117</v>
      </c>
      <c r="B110">
        <f>B109+1</f>
        <v>109</v>
      </c>
      <c r="C110">
        <f>C98+1</f>
        <v>10</v>
      </c>
      <c r="D110" s="13">
        <v>1</v>
      </c>
      <c r="E110" s="13" t="str">
        <f>MID(LEFT(Table2[[#This Row],[Player]], FIND(")", Table2[[#This Row],[Player]]) - 1), FIND("{token}", SUBSTITUTE(Table2[[#This Row],[Player]], " ", "{token}", 3)) + 1, LEN(Table2[[#This Row],[Player]]))</f>
        <v>WR</v>
      </c>
      <c r="F110" s="6" t="s">
        <v>131</v>
      </c>
      <c r="G110" s="7">
        <v>3</v>
      </c>
      <c r="H110" s="8" t="s">
        <v>28</v>
      </c>
    </row>
    <row r="111" spans="1:8" ht="16.5">
      <c r="A111" s="5">
        <v>120</v>
      </c>
      <c r="B111">
        <f>B110+1</f>
        <v>110</v>
      </c>
      <c r="C111">
        <f>C99+1</f>
        <v>10</v>
      </c>
      <c r="D111" s="13">
        <v>2</v>
      </c>
      <c r="E111" s="13" t="str">
        <f>MID(LEFT(Table2[[#This Row],[Player]], FIND(")", Table2[[#This Row],[Player]]) - 1), FIND("{token}", SUBSTITUTE(Table2[[#This Row],[Player]], " ", "{token}", 3)) + 1, LEN(Table2[[#This Row],[Player]]))</f>
        <v>DEF</v>
      </c>
      <c r="F111" s="6" t="s">
        <v>132</v>
      </c>
      <c r="G111" s="7">
        <v>3</v>
      </c>
      <c r="H111" s="8" t="s">
        <v>31</v>
      </c>
    </row>
    <row r="112" spans="1:8" ht="16.5">
      <c r="A112" s="5">
        <v>124</v>
      </c>
      <c r="B112">
        <f>B111+1</f>
        <v>111</v>
      </c>
      <c r="C112">
        <f>C100+1</f>
        <v>10</v>
      </c>
      <c r="D112" s="13">
        <v>3</v>
      </c>
      <c r="E112" s="13" t="str">
        <f>MID(LEFT(Table2[[#This Row],[Player]], FIND(")", Table2[[#This Row],[Player]]) - 1), FIND("{token}", SUBSTITUTE(Table2[[#This Row],[Player]], " ", "{token}", 3)) + 1, LEN(Table2[[#This Row],[Player]]))</f>
        <v>QB</v>
      </c>
      <c r="F112" s="6" t="s">
        <v>133</v>
      </c>
      <c r="G112" s="7">
        <v>3</v>
      </c>
      <c r="H112" s="8" t="s">
        <v>9</v>
      </c>
    </row>
    <row r="113" spans="1:8" ht="16.5">
      <c r="A113" s="5">
        <v>125</v>
      </c>
      <c r="B113">
        <f>B112+1</f>
        <v>112</v>
      </c>
      <c r="C113">
        <f>C101+1</f>
        <v>10</v>
      </c>
      <c r="D113" s="13">
        <v>4</v>
      </c>
      <c r="E113" s="13" t="str">
        <f>MID(LEFT(Table2[[#This Row],[Player]], FIND(")", Table2[[#This Row],[Player]]) - 1), FIND("{token}", SUBSTITUTE(Table2[[#This Row],[Player]], " ", "{token}", 3)) + 1, LEN(Table2[[#This Row],[Player]]))</f>
        <v>RB</v>
      </c>
      <c r="F113" s="6" t="s">
        <v>134</v>
      </c>
      <c r="G113" s="7">
        <v>3</v>
      </c>
      <c r="H113" s="8" t="s">
        <v>28</v>
      </c>
    </row>
    <row r="114" spans="1:8" ht="16.5">
      <c r="A114" s="5">
        <v>126</v>
      </c>
      <c r="B114">
        <f>B113+1</f>
        <v>113</v>
      </c>
      <c r="C114">
        <f>C102+1</f>
        <v>10</v>
      </c>
      <c r="D114" s="13">
        <v>5</v>
      </c>
      <c r="E114" s="13" t="str">
        <f>MID(LEFT(Table2[[#This Row],[Player]], FIND(")", Table2[[#This Row],[Player]]) - 1), FIND("{token}", SUBSTITUTE(Table2[[#This Row],[Player]], " ", "{token}", 3)) + 1, LEN(Table2[[#This Row],[Player]]))</f>
        <v>QB</v>
      </c>
      <c r="F114" s="6" t="s">
        <v>135</v>
      </c>
      <c r="G114" s="7">
        <v>3</v>
      </c>
      <c r="H114" s="8" t="s">
        <v>17</v>
      </c>
    </row>
    <row r="115" spans="1:8" ht="16.5">
      <c r="A115" s="5">
        <v>128</v>
      </c>
      <c r="B115">
        <f>B114+1</f>
        <v>114</v>
      </c>
      <c r="C115">
        <f>C103+1</f>
        <v>10</v>
      </c>
      <c r="D115" s="13">
        <v>6</v>
      </c>
      <c r="E115" s="13" t="str">
        <f>MID(LEFT(Table2[[#This Row],[Player]], FIND(")", Table2[[#This Row],[Player]]) - 1), FIND("{token}", SUBSTITUTE(Table2[[#This Row],[Player]], " ", "{token}", 3)) + 1, LEN(Table2[[#This Row],[Player]]))</f>
        <v>WR</v>
      </c>
      <c r="F115" s="6" t="s">
        <v>136</v>
      </c>
      <c r="G115" s="7">
        <v>3</v>
      </c>
      <c r="H115" s="8" t="s">
        <v>19</v>
      </c>
    </row>
    <row r="116" spans="1:8" ht="16.5">
      <c r="A116" s="5">
        <v>130</v>
      </c>
      <c r="B116">
        <f>B115+1</f>
        <v>115</v>
      </c>
      <c r="C116">
        <f>C104+1</f>
        <v>10</v>
      </c>
      <c r="D116" s="13">
        <v>7</v>
      </c>
      <c r="E116" s="13" t="str">
        <f>MID(LEFT(Table2[[#This Row],[Player]], FIND(")", Table2[[#This Row],[Player]]) - 1), FIND("{token}", SUBSTITUTE(Table2[[#This Row],[Player]], " ", "{token}", 3)) + 1, LEN(Table2[[#This Row],[Player]]))</f>
        <v>RB</v>
      </c>
      <c r="F116" s="6" t="s">
        <v>137</v>
      </c>
      <c r="G116" s="7">
        <v>3</v>
      </c>
      <c r="H116" s="8" t="s">
        <v>50</v>
      </c>
    </row>
    <row r="117" spans="1:8" ht="16.5">
      <c r="A117" s="5">
        <v>137</v>
      </c>
      <c r="B117">
        <f>B116+1</f>
        <v>116</v>
      </c>
      <c r="C117">
        <f>C105+1</f>
        <v>10</v>
      </c>
      <c r="D117" s="13">
        <v>8</v>
      </c>
      <c r="E117" s="13" t="str">
        <f>MID(LEFT(Table2[[#This Row],[Player]], FIND(")", Table2[[#This Row],[Player]]) - 1), FIND("{token}", SUBSTITUTE(Table2[[#This Row],[Player]], " ", "{token}", 3)) + 1, LEN(Table2[[#This Row],[Player]]))</f>
        <v>TE</v>
      </c>
      <c r="F117" s="6" t="s">
        <v>138</v>
      </c>
      <c r="G117" s="7">
        <v>3</v>
      </c>
      <c r="H117" s="8" t="s">
        <v>17</v>
      </c>
    </row>
    <row r="118" spans="1:8" ht="16.5">
      <c r="A118" s="5">
        <v>140</v>
      </c>
      <c r="B118">
        <f>B117+1</f>
        <v>117</v>
      </c>
      <c r="C118">
        <f>C106+1</f>
        <v>10</v>
      </c>
      <c r="D118" s="13">
        <v>9</v>
      </c>
      <c r="E118" s="13" t="str">
        <f>MID(LEFT(Table2[[#This Row],[Player]], FIND(")", Table2[[#This Row],[Player]]) - 1), FIND("{token}", SUBSTITUTE(Table2[[#This Row],[Player]], " ", "{token}", 3)) + 1, LEN(Table2[[#This Row],[Player]]))</f>
        <v>RB</v>
      </c>
      <c r="F118" s="6" t="s">
        <v>139</v>
      </c>
      <c r="G118" s="7">
        <v>3</v>
      </c>
      <c r="H118" s="8" t="s">
        <v>42</v>
      </c>
    </row>
    <row r="119" spans="1:8" ht="16.5">
      <c r="A119" s="5">
        <v>141</v>
      </c>
      <c r="B119">
        <f>B118+1</f>
        <v>118</v>
      </c>
      <c r="C119">
        <f>C107+1</f>
        <v>10</v>
      </c>
      <c r="D119" s="13">
        <v>10</v>
      </c>
      <c r="E119" s="13" t="str">
        <f>MID(LEFT(Table2[[#This Row],[Player]], FIND(")", Table2[[#This Row],[Player]]) - 1), FIND("{token}", SUBSTITUTE(Table2[[#This Row],[Player]], " ", "{token}", 3)) + 1, LEN(Table2[[#This Row],[Player]]))</f>
        <v>QB</v>
      </c>
      <c r="F119" s="6" t="s">
        <v>140</v>
      </c>
      <c r="G119" s="7">
        <v>3</v>
      </c>
      <c r="H119" s="8" t="s">
        <v>15</v>
      </c>
    </row>
    <row r="120" spans="1:8" ht="16.5">
      <c r="A120" s="5">
        <v>145</v>
      </c>
      <c r="B120">
        <f>B119+1</f>
        <v>119</v>
      </c>
      <c r="C120">
        <f>C108+1</f>
        <v>10</v>
      </c>
      <c r="D120" s="13">
        <v>11</v>
      </c>
      <c r="E120" s="13" t="str">
        <f>MID(LEFT(Table2[[#This Row],[Player]], FIND(")", Table2[[#This Row],[Player]]) - 1), FIND("{token}", SUBSTITUTE(Table2[[#This Row],[Player]], " ", "{token}", 3)) + 1, LEN(Table2[[#This Row],[Player]]))</f>
        <v>RB</v>
      </c>
      <c r="F120" s="6" t="s">
        <v>141</v>
      </c>
      <c r="G120" s="7">
        <v>3</v>
      </c>
      <c r="H120" s="8" t="s">
        <v>42</v>
      </c>
    </row>
    <row r="121" spans="1:8" ht="16.5">
      <c r="A121" s="5">
        <v>146</v>
      </c>
      <c r="B121">
        <f>B120+1</f>
        <v>120</v>
      </c>
      <c r="C121">
        <f>C109+1</f>
        <v>10</v>
      </c>
      <c r="D121" s="13">
        <v>12</v>
      </c>
      <c r="E121" s="13" t="str">
        <f>MID(LEFT(Table2[[#This Row],[Player]], FIND(")", Table2[[#This Row],[Player]]) - 1), FIND("{token}", SUBSTITUTE(Table2[[#This Row],[Player]], " ", "{token}", 3)) + 1, LEN(Table2[[#This Row],[Player]]))</f>
        <v>WR</v>
      </c>
      <c r="F121" s="6" t="s">
        <v>142</v>
      </c>
      <c r="G121" s="7">
        <v>3</v>
      </c>
      <c r="H121" s="8" t="s">
        <v>15</v>
      </c>
    </row>
    <row r="122" spans="1:8" ht="16.5">
      <c r="A122" s="5">
        <v>160</v>
      </c>
      <c r="B122">
        <f>B121+1</f>
        <v>121</v>
      </c>
      <c r="C122">
        <f>C110+1</f>
        <v>11</v>
      </c>
      <c r="D122" s="13">
        <v>1</v>
      </c>
      <c r="E122" s="13" t="str">
        <f>MID(LEFT(Table2[[#This Row],[Player]], FIND(")", Table2[[#This Row],[Player]]) - 1), FIND("{token}", SUBSTITUTE(Table2[[#This Row],[Player]], " ", "{token}", 3)) + 1, LEN(Table2[[#This Row],[Player]]))</f>
        <v>RB</v>
      </c>
      <c r="F122" s="6" t="s">
        <v>143</v>
      </c>
      <c r="G122" s="7">
        <v>3</v>
      </c>
      <c r="H122" s="8" t="s">
        <v>19</v>
      </c>
    </row>
    <row r="123" spans="1:8" ht="16.5">
      <c r="A123" s="5">
        <v>163</v>
      </c>
      <c r="B123">
        <f>B122+1</f>
        <v>122</v>
      </c>
      <c r="C123">
        <f>C111+1</f>
        <v>11</v>
      </c>
      <c r="D123" s="13">
        <v>2</v>
      </c>
      <c r="E123" s="13" t="str">
        <f>MID(LEFT(Table2[[#This Row],[Player]], FIND(")", Table2[[#This Row],[Player]]) - 1), FIND("{token}", SUBSTITUTE(Table2[[#This Row],[Player]], " ", "{token}", 3)) + 1, LEN(Table2[[#This Row],[Player]]))</f>
        <v>- WR</v>
      </c>
      <c r="F123" s="6" t="s">
        <v>144</v>
      </c>
      <c r="G123" s="7">
        <v>3</v>
      </c>
      <c r="H123" s="8" t="s">
        <v>17</v>
      </c>
    </row>
    <row r="124" spans="1:8" ht="16.5">
      <c r="A124" s="5">
        <v>171</v>
      </c>
      <c r="B124">
        <f>B123+1</f>
        <v>123</v>
      </c>
      <c r="C124">
        <f>C112+1</f>
        <v>11</v>
      </c>
      <c r="D124" s="13">
        <v>3</v>
      </c>
      <c r="E124" s="13" t="str">
        <f>MID(LEFT(Table2[[#This Row],[Player]], FIND(")", Table2[[#This Row],[Player]]) - 1), FIND("{token}", SUBSTITUTE(Table2[[#This Row],[Player]], " ", "{token}", 3)) + 1, LEN(Table2[[#This Row],[Player]]))</f>
        <v>WR</v>
      </c>
      <c r="F124" s="6" t="s">
        <v>145</v>
      </c>
      <c r="G124" s="7">
        <v>3</v>
      </c>
      <c r="H124" s="8" t="s">
        <v>17</v>
      </c>
    </row>
    <row r="125" spans="1:8" ht="16.5">
      <c r="A125" s="5">
        <v>173</v>
      </c>
      <c r="B125">
        <f>B124+1</f>
        <v>124</v>
      </c>
      <c r="C125">
        <f>C113+1</f>
        <v>11</v>
      </c>
      <c r="D125" s="13">
        <v>4</v>
      </c>
      <c r="E125" s="13" t="str">
        <f>MID(LEFT(Table2[[#This Row],[Player]], FIND(")", Table2[[#This Row],[Player]]) - 1), FIND("{token}", SUBSTITUTE(Table2[[#This Row],[Player]], " ", "{token}", 3)) + 1, LEN(Table2[[#This Row],[Player]]))</f>
        <v>TE</v>
      </c>
      <c r="F125" s="6" t="s">
        <v>146</v>
      </c>
      <c r="G125" s="7">
        <v>3</v>
      </c>
      <c r="H125" s="8" t="s">
        <v>19</v>
      </c>
    </row>
    <row r="126" spans="1:8" ht="16.5">
      <c r="A126" s="5">
        <v>1</v>
      </c>
      <c r="B126">
        <f>B125+1</f>
        <v>125</v>
      </c>
      <c r="C126">
        <f>C114+1</f>
        <v>11</v>
      </c>
      <c r="D126" s="13">
        <v>5</v>
      </c>
      <c r="E126" s="13" t="s">
        <v>147</v>
      </c>
      <c r="F126" s="6" t="s">
        <v>148</v>
      </c>
      <c r="G126" s="7">
        <v>2</v>
      </c>
      <c r="H126" s="8" t="s">
        <v>50</v>
      </c>
    </row>
    <row r="127" spans="1:8" ht="16.5">
      <c r="A127" s="5">
        <v>9</v>
      </c>
      <c r="B127">
        <f>B126+1</f>
        <v>126</v>
      </c>
      <c r="C127">
        <f>C115+1</f>
        <v>11</v>
      </c>
      <c r="D127" s="13">
        <v>6</v>
      </c>
      <c r="E127" s="13" t="s">
        <v>147</v>
      </c>
      <c r="F127" s="6" t="s">
        <v>149</v>
      </c>
      <c r="G127" s="7">
        <v>2</v>
      </c>
      <c r="H127" s="8" t="s">
        <v>9</v>
      </c>
    </row>
    <row r="128" spans="1:8" ht="16.5">
      <c r="A128" s="5">
        <v>12</v>
      </c>
      <c r="B128">
        <f>B127+1</f>
        <v>127</v>
      </c>
      <c r="C128">
        <f>C116+1</f>
        <v>11</v>
      </c>
      <c r="D128" s="13">
        <v>7</v>
      </c>
      <c r="E128" s="13" t="str">
        <f>MID(LEFT(Table2[[#This Row],[Player]], FIND(")", Table2[[#This Row],[Player]]) - 1), FIND("{token}", SUBSTITUTE(Table2[[#This Row],[Player]], " ", "{token}", 3)) + 1, LEN(Table2[[#This Row],[Player]]))</f>
        <v>TE</v>
      </c>
      <c r="F128" s="6" t="s">
        <v>150</v>
      </c>
      <c r="G128" s="7">
        <v>2</v>
      </c>
      <c r="H128" s="8" t="s">
        <v>24</v>
      </c>
    </row>
    <row r="129" spans="1:8" ht="16.5">
      <c r="A129" s="5">
        <v>13</v>
      </c>
      <c r="B129">
        <f>B128+1</f>
        <v>128</v>
      </c>
      <c r="C129">
        <f>C117+1</f>
        <v>11</v>
      </c>
      <c r="D129" s="13">
        <v>8</v>
      </c>
      <c r="E129" s="13" t="str">
        <f>MID(LEFT(Table2[[#This Row],[Player]], FIND(")", Table2[[#This Row],[Player]]) - 1), FIND("{token}", SUBSTITUTE(Table2[[#This Row],[Player]], " ", "{token}", 3)) + 1, LEN(Table2[[#This Row],[Player]]))</f>
        <v>K</v>
      </c>
      <c r="F129" s="6" t="s">
        <v>151</v>
      </c>
      <c r="G129" s="7">
        <v>2</v>
      </c>
      <c r="H129" s="8" t="s">
        <v>9</v>
      </c>
    </row>
    <row r="130" spans="1:8" ht="16.5">
      <c r="A130" s="5">
        <v>21</v>
      </c>
      <c r="B130">
        <f>B129+1</f>
        <v>129</v>
      </c>
      <c r="C130">
        <f>C118+1</f>
        <v>11</v>
      </c>
      <c r="D130" s="13">
        <v>9</v>
      </c>
      <c r="E130" s="13" t="s">
        <v>147</v>
      </c>
      <c r="F130" s="6" t="s">
        <v>152</v>
      </c>
      <c r="G130" s="7">
        <v>2</v>
      </c>
      <c r="H130" s="8" t="s">
        <v>24</v>
      </c>
    </row>
    <row r="131" spans="1:8" ht="16.5">
      <c r="A131" s="5">
        <v>35</v>
      </c>
      <c r="B131">
        <f>B130+1</f>
        <v>130</v>
      </c>
      <c r="C131">
        <f>C119+1</f>
        <v>11</v>
      </c>
      <c r="D131" s="13">
        <v>10</v>
      </c>
      <c r="E131" s="13" t="s">
        <v>147</v>
      </c>
      <c r="F131" s="6" t="s">
        <v>153</v>
      </c>
      <c r="G131" s="7">
        <v>2</v>
      </c>
      <c r="H131" s="8" t="s">
        <v>19</v>
      </c>
    </row>
    <row r="132" spans="1:8" ht="16.5">
      <c r="A132" s="5">
        <v>54</v>
      </c>
      <c r="B132">
        <f>B131+1</f>
        <v>131</v>
      </c>
      <c r="C132">
        <f>C120+1</f>
        <v>11</v>
      </c>
      <c r="D132" s="13">
        <v>11</v>
      </c>
      <c r="E132" s="13" t="str">
        <f>MID(LEFT(Table2[[#This Row],[Player]], FIND(")", Table2[[#This Row],[Player]]) - 1), FIND("{token}", SUBSTITUTE(Table2[[#This Row],[Player]], " ", "{token}", 3)) + 1, LEN(Table2[[#This Row],[Player]]))</f>
        <v>K</v>
      </c>
      <c r="F132" s="6" t="s">
        <v>154</v>
      </c>
      <c r="G132" s="7">
        <v>2</v>
      </c>
      <c r="H132" s="8" t="s">
        <v>24</v>
      </c>
    </row>
    <row r="133" spans="1:8" ht="16.5">
      <c r="A133" s="5">
        <v>58</v>
      </c>
      <c r="B133">
        <f>B132+1</f>
        <v>132</v>
      </c>
      <c r="C133">
        <f>C121+1</f>
        <v>11</v>
      </c>
      <c r="D133" s="13">
        <v>12</v>
      </c>
      <c r="E133" s="13" t="s">
        <v>147</v>
      </c>
      <c r="F133" s="6" t="s">
        <v>155</v>
      </c>
      <c r="G133" s="7">
        <v>2</v>
      </c>
      <c r="H133" s="8" t="s">
        <v>28</v>
      </c>
    </row>
    <row r="134" spans="1:8" ht="16.5">
      <c r="A134" s="5">
        <v>85</v>
      </c>
      <c r="B134">
        <f>B133+1</f>
        <v>133</v>
      </c>
      <c r="C134">
        <f>C122+1</f>
        <v>12</v>
      </c>
      <c r="D134" s="13">
        <v>1</v>
      </c>
      <c r="E134" s="13" t="str">
        <f>MID(LEFT(Table2[[#This Row],[Player]], FIND(")", Table2[[#This Row],[Player]]) - 1), FIND("{token}", SUBSTITUTE(Table2[[#This Row],[Player]], " ", "{token}", 3)) + 1, LEN(Table2[[#This Row],[Player]]))</f>
        <v>K</v>
      </c>
      <c r="F134" s="6" t="s">
        <v>156</v>
      </c>
      <c r="G134" s="7">
        <v>2</v>
      </c>
      <c r="H134" s="8" t="s">
        <v>9</v>
      </c>
    </row>
    <row r="135" spans="1:8" ht="16.5">
      <c r="A135" s="5">
        <v>131</v>
      </c>
      <c r="B135">
        <f>B134+1</f>
        <v>134</v>
      </c>
      <c r="C135">
        <f>C123+1</f>
        <v>12</v>
      </c>
      <c r="D135" s="13">
        <v>2</v>
      </c>
      <c r="E135" s="13" t="str">
        <f>MID(LEFT(Table2[[#This Row],[Player]], FIND(")", Table2[[#This Row],[Player]]) - 1), FIND("{token}", SUBSTITUTE(Table2[[#This Row],[Player]], " ", "{token}", 3)) + 1, LEN(Table2[[#This Row],[Player]]))</f>
        <v>RB</v>
      </c>
      <c r="F135" s="6" t="s">
        <v>157</v>
      </c>
      <c r="G135" s="7">
        <v>2</v>
      </c>
      <c r="H135" s="8" t="s">
        <v>42</v>
      </c>
    </row>
    <row r="136" spans="1:8" ht="16.5">
      <c r="A136" s="5">
        <v>134</v>
      </c>
      <c r="B136">
        <f>B135+1</f>
        <v>135</v>
      </c>
      <c r="C136">
        <f>C124+1</f>
        <v>12</v>
      </c>
      <c r="D136" s="13">
        <v>3</v>
      </c>
      <c r="E136" s="13" t="str">
        <f>MID(LEFT(Table2[[#This Row],[Player]], FIND(")", Table2[[#This Row],[Player]]) - 1), FIND("{token}", SUBSTITUTE(Table2[[#This Row],[Player]], " ", "{token}", 3)) + 1, LEN(Table2[[#This Row],[Player]]))</f>
        <v>WR</v>
      </c>
      <c r="F136" s="6" t="s">
        <v>158</v>
      </c>
      <c r="G136" s="7">
        <v>2</v>
      </c>
      <c r="H136" s="8" t="s">
        <v>11</v>
      </c>
    </row>
    <row r="137" spans="1:8" ht="16.5">
      <c r="A137" s="5">
        <v>142</v>
      </c>
      <c r="B137">
        <f>B136+1</f>
        <v>136</v>
      </c>
      <c r="C137">
        <f>C125+1</f>
        <v>12</v>
      </c>
      <c r="D137" s="13">
        <v>4</v>
      </c>
      <c r="E137" s="13" t="str">
        <f>MID(LEFT(Table2[[#This Row],[Player]], FIND(")", Table2[[#This Row],[Player]]) - 1), FIND("{token}", SUBSTITUTE(Table2[[#This Row],[Player]], " ", "{token}", 3)) + 1, LEN(Table2[[#This Row],[Player]]))</f>
        <v>WR</v>
      </c>
      <c r="F137" s="6" t="s">
        <v>159</v>
      </c>
      <c r="G137" s="7">
        <v>2</v>
      </c>
      <c r="H137" s="8" t="s">
        <v>13</v>
      </c>
    </row>
    <row r="138" spans="1:8" ht="16.5">
      <c r="A138" s="5">
        <v>148</v>
      </c>
      <c r="B138">
        <f>B137+1</f>
        <v>137</v>
      </c>
      <c r="C138">
        <f>C126+1</f>
        <v>12</v>
      </c>
      <c r="D138" s="13">
        <v>5</v>
      </c>
      <c r="E138" s="13" t="str">
        <f>MID(LEFT(Table2[[#This Row],[Player]], FIND(")", Table2[[#This Row],[Player]]) - 1), FIND("{token}", SUBSTITUTE(Table2[[#This Row],[Player]], " ", "{token}", 3)) + 1, LEN(Table2[[#This Row],[Player]]))</f>
        <v>WR</v>
      </c>
      <c r="F138" s="6" t="s">
        <v>160</v>
      </c>
      <c r="G138" s="7">
        <v>2</v>
      </c>
      <c r="H138" s="8" t="s">
        <v>24</v>
      </c>
    </row>
    <row r="139" spans="1:8" ht="16.5">
      <c r="A139" s="5">
        <v>149</v>
      </c>
      <c r="B139">
        <f>B138+1</f>
        <v>138</v>
      </c>
      <c r="C139">
        <f>C127+1</f>
        <v>12</v>
      </c>
      <c r="D139" s="13">
        <v>6</v>
      </c>
      <c r="E139" s="13" t="str">
        <f>MID(LEFT(Table2[[#This Row],[Player]], FIND(")", Table2[[#This Row],[Player]]) - 1), FIND("{token}", SUBSTITUTE(Table2[[#This Row],[Player]], " ", "{token}", 3)) + 1, LEN(Table2[[#This Row],[Player]]))</f>
        <v>RB</v>
      </c>
      <c r="F139" s="6" t="s">
        <v>161</v>
      </c>
      <c r="G139" s="7">
        <v>2</v>
      </c>
      <c r="H139" s="8" t="s">
        <v>11</v>
      </c>
    </row>
    <row r="140" spans="1:8" ht="16.5">
      <c r="A140" s="5">
        <v>150</v>
      </c>
      <c r="B140">
        <f>B139+1</f>
        <v>139</v>
      </c>
      <c r="C140">
        <f>C128+1</f>
        <v>12</v>
      </c>
      <c r="D140" s="13">
        <v>7</v>
      </c>
      <c r="E140" s="13" t="str">
        <f>MID(LEFT(Table2[[#This Row],[Player]], FIND(")", Table2[[#This Row],[Player]]) - 1), FIND("{token}", SUBSTITUTE(Table2[[#This Row],[Player]], " ", "{token}", 3)) + 1, LEN(Table2[[#This Row],[Player]]))</f>
        <v>TE</v>
      </c>
      <c r="F140" s="6" t="s">
        <v>162</v>
      </c>
      <c r="G140" s="7">
        <v>2</v>
      </c>
      <c r="H140" s="8" t="s">
        <v>19</v>
      </c>
    </row>
    <row r="141" spans="1:8" ht="16.5">
      <c r="A141" s="5">
        <v>151</v>
      </c>
      <c r="B141">
        <f>B140+1</f>
        <v>140</v>
      </c>
      <c r="C141">
        <f>C129+1</f>
        <v>12</v>
      </c>
      <c r="D141" s="13">
        <v>8</v>
      </c>
      <c r="E141" s="13" t="str">
        <f>MID(LEFT(Table2[[#This Row],[Player]], FIND(")", Table2[[#This Row],[Player]]) - 1), FIND("{token}", SUBSTITUTE(Table2[[#This Row],[Player]], " ", "{token}", 3)) + 1, LEN(Table2[[#This Row],[Player]]))</f>
        <v>RB</v>
      </c>
      <c r="F141" s="6" t="s">
        <v>163</v>
      </c>
      <c r="G141" s="7">
        <v>2</v>
      </c>
      <c r="H141" s="8" t="s">
        <v>13</v>
      </c>
    </row>
    <row r="142" spans="1:8" ht="16.5">
      <c r="A142" s="5">
        <v>152</v>
      </c>
      <c r="B142">
        <f>B141+1</f>
        <v>141</v>
      </c>
      <c r="C142">
        <f>C130+1</f>
        <v>12</v>
      </c>
      <c r="D142" s="13">
        <v>9</v>
      </c>
      <c r="E142" s="13" t="str">
        <f>MID(LEFT(Table2[[#This Row],[Player]], FIND(")", Table2[[#This Row],[Player]]) - 1), FIND("{token}", SUBSTITUTE(Table2[[#This Row],[Player]], " ", "{token}", 3)) + 1, LEN(Table2[[#This Row],[Player]]))</f>
        <v>RB</v>
      </c>
      <c r="F142" s="6" t="s">
        <v>164</v>
      </c>
      <c r="G142" s="7">
        <v>2</v>
      </c>
      <c r="H142" s="8" t="s">
        <v>19</v>
      </c>
    </row>
    <row r="143" spans="1:8" ht="16.5">
      <c r="A143" s="5">
        <v>156</v>
      </c>
      <c r="B143">
        <f>B142+1</f>
        <v>142</v>
      </c>
      <c r="C143">
        <f>C131+1</f>
        <v>12</v>
      </c>
      <c r="D143" s="13">
        <v>10</v>
      </c>
      <c r="E143" s="13" t="str">
        <f>MID(LEFT(Table2[[#This Row],[Player]], FIND(")", Table2[[#This Row],[Player]]) - 1), FIND("{token}", SUBSTITUTE(Table2[[#This Row],[Player]], " ", "{token}", 3)) + 1, LEN(Table2[[#This Row],[Player]]))</f>
        <v>WR</v>
      </c>
      <c r="F143" s="6" t="s">
        <v>165</v>
      </c>
      <c r="G143" s="7">
        <v>2</v>
      </c>
      <c r="H143" s="8" t="s">
        <v>15</v>
      </c>
    </row>
    <row r="144" spans="1:8" ht="16.5">
      <c r="A144" s="5">
        <v>158</v>
      </c>
      <c r="B144">
        <f>B143+1</f>
        <v>143</v>
      </c>
      <c r="C144">
        <f>C132+1</f>
        <v>12</v>
      </c>
      <c r="D144" s="13">
        <v>11</v>
      </c>
      <c r="E144" s="13" t="str">
        <f>MID(LEFT(Table2[[#This Row],[Player]], FIND(")", Table2[[#This Row],[Player]]) - 1), FIND("{token}", SUBSTITUTE(Table2[[#This Row],[Player]], " ", "{token}", 3)) + 1, LEN(Table2[[#This Row],[Player]]))</f>
        <v>TE</v>
      </c>
      <c r="F144" s="6" t="s">
        <v>166</v>
      </c>
      <c r="G144" s="7">
        <v>2</v>
      </c>
      <c r="H144" s="8" t="s">
        <v>15</v>
      </c>
    </row>
    <row r="145" spans="1:8" ht="16.5">
      <c r="A145" s="5">
        <v>162</v>
      </c>
      <c r="B145">
        <f>B144+1</f>
        <v>144</v>
      </c>
      <c r="C145">
        <f>C133+1</f>
        <v>12</v>
      </c>
      <c r="D145" s="13">
        <v>12</v>
      </c>
      <c r="E145" s="13" t="str">
        <f>MID(LEFT(Table2[[#This Row],[Player]], FIND(")", Table2[[#This Row],[Player]]) - 1), FIND("{token}", SUBSTITUTE(Table2[[#This Row],[Player]], " ", "{token}", 3)) + 1, LEN(Table2[[#This Row],[Player]]))</f>
        <v>WR</v>
      </c>
      <c r="F145" s="6" t="s">
        <v>167</v>
      </c>
      <c r="G145" s="7">
        <v>2</v>
      </c>
      <c r="H145" s="8" t="s">
        <v>17</v>
      </c>
    </row>
    <row r="146" spans="1:8" ht="16.5">
      <c r="A146" s="5">
        <v>170</v>
      </c>
      <c r="B146">
        <f>B145+1</f>
        <v>145</v>
      </c>
      <c r="C146">
        <f>C134+1</f>
        <v>13</v>
      </c>
      <c r="D146" s="13">
        <v>1</v>
      </c>
      <c r="E146" s="13" t="str">
        <f>MID(LEFT(Table2[[#This Row],[Player]], FIND(")", Table2[[#This Row],[Player]]) - 1), FIND("{token}", SUBSTITUTE(Table2[[#This Row],[Player]], " ", "{token}", 3)) + 1, LEN(Table2[[#This Row],[Player]]))</f>
        <v>WR</v>
      </c>
      <c r="F146" s="6" t="s">
        <v>168</v>
      </c>
      <c r="G146" s="7">
        <v>2</v>
      </c>
      <c r="H146" s="8" t="s">
        <v>19</v>
      </c>
    </row>
    <row r="147" spans="1:8" ht="16.5">
      <c r="A147" s="5">
        <v>188</v>
      </c>
      <c r="B147">
        <f>B146+1</f>
        <v>146</v>
      </c>
      <c r="C147">
        <f>C135+1</f>
        <v>13</v>
      </c>
      <c r="D147" s="13">
        <v>2</v>
      </c>
      <c r="E147" s="13" t="str">
        <f>MID(LEFT(Table2[[#This Row],[Player]], FIND(")", Table2[[#This Row],[Player]]) - 1), FIND("{token}", SUBSTITUTE(Table2[[#This Row],[Player]], " ", "{token}", 3)) + 1, LEN(Table2[[#This Row],[Player]]))</f>
        <v>WR</v>
      </c>
      <c r="F147" s="6" t="s">
        <v>169</v>
      </c>
      <c r="G147" s="7">
        <v>2</v>
      </c>
      <c r="H147" s="8" t="s">
        <v>13</v>
      </c>
    </row>
    <row r="148" spans="1:8" ht="16.5">
      <c r="A148" s="5">
        <v>33</v>
      </c>
      <c r="B148">
        <f>B147+1</f>
        <v>147</v>
      </c>
      <c r="C148">
        <f>C136+1</f>
        <v>13</v>
      </c>
      <c r="D148" s="13">
        <v>3</v>
      </c>
      <c r="E148" s="13" t="s">
        <v>147</v>
      </c>
      <c r="F148" s="6" t="s">
        <v>170</v>
      </c>
      <c r="G148" s="7">
        <v>1</v>
      </c>
      <c r="H148" s="8" t="s">
        <v>15</v>
      </c>
    </row>
    <row r="149" spans="1:8" ht="16.5">
      <c r="A149" s="5">
        <v>57</v>
      </c>
      <c r="B149">
        <f>B148+1</f>
        <v>148</v>
      </c>
      <c r="C149">
        <f>C137+1</f>
        <v>13</v>
      </c>
      <c r="D149" s="13">
        <v>4</v>
      </c>
      <c r="E149" s="13" t="s">
        <v>147</v>
      </c>
      <c r="F149" s="6" t="s">
        <v>171</v>
      </c>
      <c r="G149" s="7">
        <v>1</v>
      </c>
      <c r="H149" s="8" t="s">
        <v>15</v>
      </c>
    </row>
    <row r="150" spans="1:8" ht="16.5">
      <c r="A150" s="5">
        <v>64</v>
      </c>
      <c r="B150">
        <f>B149+1</f>
        <v>149</v>
      </c>
      <c r="C150">
        <f>C138+1</f>
        <v>13</v>
      </c>
      <c r="D150" s="13">
        <v>5</v>
      </c>
      <c r="E150" s="13" t="str">
        <f>MID(LEFT(Table2[[#This Row],[Player]], FIND(")", Table2[[#This Row],[Player]]) - 1), FIND("{token}", SUBSTITUTE(Table2[[#This Row],[Player]], " ", "{token}", 3)) + 1, LEN(Table2[[#This Row],[Player]]))</f>
        <v>WR</v>
      </c>
      <c r="F150" s="6" t="s">
        <v>172</v>
      </c>
      <c r="G150" s="7">
        <v>1</v>
      </c>
      <c r="H150" s="8" t="s">
        <v>9</v>
      </c>
    </row>
    <row r="151" spans="1:8" ht="16.5">
      <c r="A151" s="5">
        <v>66</v>
      </c>
      <c r="B151">
        <f>B150+1</f>
        <v>150</v>
      </c>
      <c r="C151">
        <f>C139+1</f>
        <v>13</v>
      </c>
      <c r="D151" s="13">
        <v>6</v>
      </c>
      <c r="E151" s="13" t="str">
        <f>MID(LEFT(Table2[[#This Row],[Player]], FIND(")", Table2[[#This Row],[Player]]) - 1), FIND("{token}", SUBSTITUTE(Table2[[#This Row],[Player]], " ", "{token}", 3)) + 1, LEN(Table2[[#This Row],[Player]]))</f>
        <v>K</v>
      </c>
      <c r="F151" s="6" t="s">
        <v>173</v>
      </c>
      <c r="G151" s="7">
        <v>1</v>
      </c>
      <c r="H151" s="8" t="s">
        <v>50</v>
      </c>
    </row>
    <row r="152" spans="1:8" ht="16.5">
      <c r="A152" s="5">
        <v>69</v>
      </c>
      <c r="B152">
        <f>B151+1</f>
        <v>151</v>
      </c>
      <c r="C152">
        <f>C140+1</f>
        <v>13</v>
      </c>
      <c r="D152" s="13">
        <v>7</v>
      </c>
      <c r="E152" s="13" t="str">
        <f>MID(LEFT(Table2[[#This Row],[Player]], FIND(")", Table2[[#This Row],[Player]]) - 1), FIND("{token}", SUBSTITUTE(Table2[[#This Row],[Player]], " ", "{token}", 3)) + 1, LEN(Table2[[#This Row],[Player]]))</f>
        <v>K</v>
      </c>
      <c r="F152" s="6" t="s">
        <v>174</v>
      </c>
      <c r="G152" s="7">
        <v>1</v>
      </c>
      <c r="H152" s="8" t="s">
        <v>15</v>
      </c>
    </row>
    <row r="153" spans="1:8" ht="16.5">
      <c r="A153" s="5">
        <v>70</v>
      </c>
      <c r="B153">
        <f>B152+1</f>
        <v>152</v>
      </c>
      <c r="C153">
        <f>C141+1</f>
        <v>13</v>
      </c>
      <c r="D153" s="13">
        <v>8</v>
      </c>
      <c r="E153" s="13" t="s">
        <v>147</v>
      </c>
      <c r="F153" s="6" t="s">
        <v>175</v>
      </c>
      <c r="G153" s="7">
        <v>1</v>
      </c>
      <c r="H153" s="8" t="s">
        <v>13</v>
      </c>
    </row>
    <row r="154" spans="1:8" ht="16.5">
      <c r="A154" s="5">
        <v>82</v>
      </c>
      <c r="B154">
        <f>B153+1</f>
        <v>153</v>
      </c>
      <c r="C154">
        <f>C142+1</f>
        <v>13</v>
      </c>
      <c r="D154" s="13">
        <v>9</v>
      </c>
      <c r="E154" s="13" t="str">
        <f>MID(LEFT(Table2[[#This Row],[Player]], FIND(")", Table2[[#This Row],[Player]]) - 1), FIND("{token}", SUBSTITUTE(Table2[[#This Row],[Player]], " ", "{token}", 3)) + 1, LEN(Table2[[#This Row],[Player]]))</f>
        <v>K</v>
      </c>
      <c r="F154" s="6" t="s">
        <v>176</v>
      </c>
      <c r="G154" s="7">
        <v>1</v>
      </c>
      <c r="H154" s="8" t="s">
        <v>13</v>
      </c>
    </row>
    <row r="155" spans="1:8" ht="16.5">
      <c r="A155" s="5">
        <v>86</v>
      </c>
      <c r="B155">
        <f>B154+1</f>
        <v>154</v>
      </c>
      <c r="C155">
        <f>C143+1</f>
        <v>13</v>
      </c>
      <c r="D155" s="13">
        <v>10</v>
      </c>
      <c r="E155" s="13" t="str">
        <f>MID(LEFT(Table2[[#This Row],[Player]], FIND(")", Table2[[#This Row],[Player]]) - 1), FIND("{token}", SUBSTITUTE(Table2[[#This Row],[Player]], " ", "{token}", 3)) + 1, LEN(Table2[[#This Row],[Player]]))</f>
        <v>K</v>
      </c>
      <c r="F155" s="6" t="s">
        <v>177</v>
      </c>
      <c r="G155" s="7">
        <v>1</v>
      </c>
      <c r="H155" s="8" t="s">
        <v>42</v>
      </c>
    </row>
    <row r="156" spans="1:8" ht="16.5">
      <c r="A156" s="5">
        <v>92</v>
      </c>
      <c r="B156">
        <f>B155+1</f>
        <v>155</v>
      </c>
      <c r="C156">
        <f>C144+1</f>
        <v>13</v>
      </c>
      <c r="D156" s="13">
        <v>11</v>
      </c>
      <c r="E156" s="13" t="str">
        <f>MID(LEFT(Table2[[#This Row],[Player]], FIND(")", Table2[[#This Row],[Player]]) - 1), FIND("{token}", SUBSTITUTE(Table2[[#This Row],[Player]], " ", "{token}", 3)) + 1, LEN(Table2[[#This Row],[Player]]))</f>
        <v>K</v>
      </c>
      <c r="F156" s="6" t="s">
        <v>178</v>
      </c>
      <c r="G156" s="7">
        <v>1</v>
      </c>
      <c r="H156" s="8" t="s">
        <v>40</v>
      </c>
    </row>
    <row r="157" spans="1:8" ht="16.5">
      <c r="A157" s="5">
        <v>98</v>
      </c>
      <c r="B157">
        <f>B156+1</f>
        <v>156</v>
      </c>
      <c r="C157">
        <f>C145+1</f>
        <v>13</v>
      </c>
      <c r="D157" s="13">
        <v>12</v>
      </c>
      <c r="E157" s="13" t="s">
        <v>147</v>
      </c>
      <c r="F157" s="6" t="s">
        <v>179</v>
      </c>
      <c r="G157" s="7">
        <v>1</v>
      </c>
      <c r="H157" s="8" t="s">
        <v>42</v>
      </c>
    </row>
    <row r="158" spans="1:8" ht="16.5">
      <c r="A158" s="5">
        <v>108</v>
      </c>
      <c r="B158">
        <f>B157+1</f>
        <v>157</v>
      </c>
      <c r="C158">
        <f>C146+1</f>
        <v>14</v>
      </c>
      <c r="D158" s="13">
        <v>1</v>
      </c>
      <c r="E158" s="13" t="str">
        <f>MID(LEFT(Table2[[#This Row],[Player]], FIND(")", Table2[[#This Row],[Player]]) - 1), FIND("{token}", SUBSTITUTE(Table2[[#This Row],[Player]], " ", "{token}", 3)) + 1, LEN(Table2[[#This Row],[Player]]))</f>
        <v>K</v>
      </c>
      <c r="F158" s="6" t="s">
        <v>180</v>
      </c>
      <c r="G158" s="7">
        <v>1</v>
      </c>
      <c r="H158" s="8" t="s">
        <v>31</v>
      </c>
    </row>
    <row r="159" spans="1:8" ht="16.5">
      <c r="A159" s="5">
        <v>110</v>
      </c>
      <c r="B159">
        <f>B158+1</f>
        <v>158</v>
      </c>
      <c r="C159">
        <f>C147+1</f>
        <v>14</v>
      </c>
      <c r="D159" s="13">
        <v>2</v>
      </c>
      <c r="E159" s="13" t="str">
        <f>MID(LEFT(Table2[[#This Row],[Player]], FIND(")", Table2[[#This Row],[Player]]) - 1), FIND("{token}", SUBSTITUTE(Table2[[#This Row],[Player]], " ", "{token}", 3)) + 1, LEN(Table2[[#This Row],[Player]]))</f>
        <v>DEF</v>
      </c>
      <c r="F159" s="6" t="s">
        <v>181</v>
      </c>
      <c r="G159" s="7">
        <v>1</v>
      </c>
      <c r="H159" s="8" t="s">
        <v>42</v>
      </c>
    </row>
    <row r="160" spans="1:8" ht="16.5">
      <c r="A160" s="5">
        <v>111</v>
      </c>
      <c r="B160">
        <f>B159+1</f>
        <v>159</v>
      </c>
      <c r="C160">
        <f>C148+1</f>
        <v>14</v>
      </c>
      <c r="D160" s="13">
        <v>3</v>
      </c>
      <c r="E160" s="13" t="str">
        <f>MID(LEFT(Table2[[#This Row],[Player]], FIND(")", Table2[[#This Row],[Player]]) - 1), FIND("{token}", SUBSTITUTE(Table2[[#This Row],[Player]], " ", "{token}", 3)) + 1, LEN(Table2[[#This Row],[Player]]))</f>
        <v>QB</v>
      </c>
      <c r="F160" s="6" t="s">
        <v>182</v>
      </c>
      <c r="G160" s="7">
        <v>1</v>
      </c>
      <c r="H160" s="8" t="s">
        <v>24</v>
      </c>
    </row>
    <row r="161" spans="1:8" ht="16.5">
      <c r="A161" s="5">
        <v>121</v>
      </c>
      <c r="B161">
        <f>B160+1</f>
        <v>160</v>
      </c>
      <c r="C161">
        <f>C149+1</f>
        <v>14</v>
      </c>
      <c r="D161" s="13">
        <v>4</v>
      </c>
      <c r="E161" s="13" t="str">
        <f>MID(LEFT(Table2[[#This Row],[Player]], FIND(")", Table2[[#This Row],[Player]]) - 1), FIND("{token}", SUBSTITUTE(Table2[[#This Row],[Player]], " ", "{token}", 3)) + 1, LEN(Table2[[#This Row],[Player]]))</f>
        <v>K</v>
      </c>
      <c r="F161" s="6" t="s">
        <v>183</v>
      </c>
      <c r="G161" s="7">
        <v>1</v>
      </c>
      <c r="H161" s="8" t="s">
        <v>17</v>
      </c>
    </row>
    <row r="162" spans="1:8" ht="16.5">
      <c r="A162" s="5">
        <v>135</v>
      </c>
      <c r="B162">
        <f>B161+1</f>
        <v>161</v>
      </c>
      <c r="C162">
        <f>C150+1</f>
        <v>14</v>
      </c>
      <c r="D162" s="13">
        <v>5</v>
      </c>
      <c r="E162" s="13" t="str">
        <f>MID(LEFT(Table2[[#This Row],[Player]], FIND(")", Table2[[#This Row],[Player]]) - 1), FIND("{token}", SUBSTITUTE(Table2[[#This Row],[Player]], " ", "{token}", 3)) + 1, LEN(Table2[[#This Row],[Player]]))</f>
        <v>TE</v>
      </c>
      <c r="F162" s="6" t="s">
        <v>184</v>
      </c>
      <c r="G162" s="7">
        <v>1</v>
      </c>
      <c r="H162" s="8" t="s">
        <v>24</v>
      </c>
    </row>
    <row r="163" spans="1:8" ht="16.5">
      <c r="A163" s="5">
        <v>139</v>
      </c>
      <c r="B163">
        <f>B162+1</f>
        <v>162</v>
      </c>
      <c r="C163">
        <f>C151+1</f>
        <v>14</v>
      </c>
      <c r="D163" s="13">
        <v>6</v>
      </c>
      <c r="E163" s="13" t="str">
        <f>MID(LEFT(Table2[[#This Row],[Player]], FIND(")", Table2[[#This Row],[Player]]) - 1), FIND("{token}", SUBSTITUTE(Table2[[#This Row],[Player]], " ", "{token}", 3)) + 1, LEN(Table2[[#This Row],[Player]]))</f>
        <v>WR</v>
      </c>
      <c r="F163" s="6" t="s">
        <v>185</v>
      </c>
      <c r="G163" s="7">
        <v>1</v>
      </c>
      <c r="H163" s="8" t="s">
        <v>28</v>
      </c>
    </row>
    <row r="164" spans="1:8" ht="16.5">
      <c r="A164" s="5">
        <v>144</v>
      </c>
      <c r="B164">
        <f>B163+1</f>
        <v>163</v>
      </c>
      <c r="C164">
        <f>C152+1</f>
        <v>14</v>
      </c>
      <c r="D164" s="13">
        <v>7</v>
      </c>
      <c r="E164" s="13" t="str">
        <f>MID(LEFT(Table2[[#This Row],[Player]], FIND(")", Table2[[#This Row],[Player]]) - 1), FIND("{token}", SUBSTITUTE(Table2[[#This Row],[Player]], " ", "{token}", 3)) + 1, LEN(Table2[[#This Row],[Player]]))</f>
        <v>QB</v>
      </c>
      <c r="F164" s="6" t="s">
        <v>186</v>
      </c>
      <c r="G164" s="7">
        <v>1</v>
      </c>
      <c r="H164" s="8" t="s">
        <v>31</v>
      </c>
    </row>
    <row r="165" spans="1:8" ht="16.5">
      <c r="A165" s="5">
        <v>147</v>
      </c>
      <c r="B165">
        <f>B164+1</f>
        <v>164</v>
      </c>
      <c r="C165">
        <f>C153+1</f>
        <v>14</v>
      </c>
      <c r="D165" s="13">
        <v>8</v>
      </c>
      <c r="E165" s="13" t="str">
        <f>MID(LEFT(Table2[[#This Row],[Player]], FIND(")", Table2[[#This Row],[Player]]) - 1), FIND("{token}", SUBSTITUTE(Table2[[#This Row],[Player]], " ", "{token}", 3)) + 1, LEN(Table2[[#This Row],[Player]]))</f>
        <v>TE</v>
      </c>
      <c r="F165" s="6" t="s">
        <v>187</v>
      </c>
      <c r="G165" s="7">
        <v>1</v>
      </c>
      <c r="H165" s="8" t="s">
        <v>24</v>
      </c>
    </row>
    <row r="166" spans="1:8" ht="16.5">
      <c r="A166" s="5">
        <v>153</v>
      </c>
      <c r="B166">
        <f>B165+1</f>
        <v>165</v>
      </c>
      <c r="C166">
        <f>C154+1</f>
        <v>14</v>
      </c>
      <c r="D166" s="13">
        <v>9</v>
      </c>
      <c r="E166" s="13" t="str">
        <f>MID(LEFT(Table2[[#This Row],[Player]], FIND(")", Table2[[#This Row],[Player]]) - 1), FIND("{token}", SUBSTITUTE(Table2[[#This Row],[Player]], " ", "{token}", 3)) + 1, LEN(Table2[[#This Row],[Player]]))</f>
        <v>RB</v>
      </c>
      <c r="F166" s="6" t="s">
        <v>188</v>
      </c>
      <c r="G166" s="7">
        <v>1</v>
      </c>
      <c r="H166" s="8" t="s">
        <v>31</v>
      </c>
    </row>
    <row r="167" spans="1:8" ht="16.5">
      <c r="A167" s="5">
        <v>154</v>
      </c>
      <c r="B167">
        <f>B166+1</f>
        <v>166</v>
      </c>
      <c r="C167">
        <f>C155+1</f>
        <v>14</v>
      </c>
      <c r="D167" s="13">
        <v>10</v>
      </c>
      <c r="E167" s="13" t="str">
        <f>MID(LEFT(Table2[[#This Row],[Player]], FIND(")", Table2[[#This Row],[Player]]) - 1), FIND("{token}", SUBSTITUTE(Table2[[#This Row],[Player]], " ", "{token}", 3)) + 1, LEN(Table2[[#This Row],[Player]]))</f>
        <v>RB</v>
      </c>
      <c r="F167" s="6" t="s">
        <v>189</v>
      </c>
      <c r="G167" s="7">
        <v>1</v>
      </c>
      <c r="H167" s="8" t="s">
        <v>17</v>
      </c>
    </row>
    <row r="168" spans="1:8" ht="16.5">
      <c r="A168" s="5">
        <v>155</v>
      </c>
      <c r="B168">
        <f>B167+1</f>
        <v>167</v>
      </c>
      <c r="C168">
        <f>C156+1</f>
        <v>14</v>
      </c>
      <c r="D168" s="13">
        <v>11</v>
      </c>
      <c r="E168" s="13" t="str">
        <f>MID(LEFT(Table2[[#This Row],[Player]], FIND(")", Table2[[#This Row],[Player]]) - 1), FIND("{token}", SUBSTITUTE(Table2[[#This Row],[Player]], " ", "{token}", 3)) + 1, LEN(Table2[[#This Row],[Player]]))</f>
        <v>QB</v>
      </c>
      <c r="F168" s="6" t="s">
        <v>190</v>
      </c>
      <c r="G168" s="7">
        <v>1</v>
      </c>
      <c r="H168" s="8" t="s">
        <v>42</v>
      </c>
    </row>
    <row r="169" spans="1:8" ht="16.5">
      <c r="A169" s="5">
        <v>157</v>
      </c>
      <c r="B169">
        <f>B168+1</f>
        <v>168</v>
      </c>
      <c r="C169">
        <f>C157+1</f>
        <v>14</v>
      </c>
      <c r="D169" s="13">
        <v>12</v>
      </c>
      <c r="E169" s="13" t="str">
        <f>MID(LEFT(Table2[[#This Row],[Player]], FIND(")", Table2[[#This Row],[Player]]) - 1), FIND("{token}", SUBSTITUTE(Table2[[#This Row],[Player]], " ", "{token}", 3)) + 1, LEN(Table2[[#This Row],[Player]]))</f>
        <v>WR</v>
      </c>
      <c r="F169" s="6" t="s">
        <v>191</v>
      </c>
      <c r="G169" s="7">
        <v>1</v>
      </c>
      <c r="H169" s="8" t="s">
        <v>19</v>
      </c>
    </row>
    <row r="170" spans="1:8" ht="16.5">
      <c r="A170" s="5">
        <v>161</v>
      </c>
      <c r="B170">
        <f>B169+1</f>
        <v>169</v>
      </c>
      <c r="C170">
        <f>C158+1</f>
        <v>15</v>
      </c>
      <c r="D170" s="13">
        <v>1</v>
      </c>
      <c r="E170" s="13" t="str">
        <f>MID(LEFT(Table2[[#This Row],[Player]], FIND(")", Table2[[#This Row],[Player]]) - 1), FIND("{token}", SUBSTITUTE(Table2[[#This Row],[Player]], " ", "{token}", 3)) + 1, LEN(Table2[[#This Row],[Player]]))</f>
        <v>RB</v>
      </c>
      <c r="F170" s="6" t="s">
        <v>192</v>
      </c>
      <c r="G170" s="7">
        <v>1</v>
      </c>
      <c r="H170" s="8" t="s">
        <v>11</v>
      </c>
    </row>
    <row r="171" spans="1:8" ht="16.5">
      <c r="A171" s="5">
        <v>164</v>
      </c>
      <c r="B171">
        <f>B170+1</f>
        <v>170</v>
      </c>
      <c r="C171">
        <f>C159+1</f>
        <v>15</v>
      </c>
      <c r="D171" s="13">
        <v>2</v>
      </c>
      <c r="E171" s="13" t="str">
        <f>MID(LEFT(Table2[[#This Row],[Player]], FIND(")", Table2[[#This Row],[Player]]) - 1), FIND("{token}", SUBSTITUTE(Table2[[#This Row],[Player]], " ", "{token}", 3)) + 1, LEN(Table2[[#This Row],[Player]]))</f>
        <v>WR</v>
      </c>
      <c r="F171" s="6" t="s">
        <v>193</v>
      </c>
      <c r="G171" s="7">
        <v>1</v>
      </c>
      <c r="H171" s="8" t="s">
        <v>24</v>
      </c>
    </row>
    <row r="172" spans="1:8" ht="16.5">
      <c r="A172" s="5">
        <v>165</v>
      </c>
      <c r="B172">
        <f>B171+1</f>
        <v>171</v>
      </c>
      <c r="C172">
        <f>C160+1</f>
        <v>15</v>
      </c>
      <c r="D172" s="13">
        <v>3</v>
      </c>
      <c r="E172" s="13" t="str">
        <f>MID(LEFT(Table2[[#This Row],[Player]], FIND(")", Table2[[#This Row],[Player]]) - 1), FIND("{token}", SUBSTITUTE(Table2[[#This Row],[Player]], " ", "{token}", 3)) + 1, LEN(Table2[[#This Row],[Player]]))</f>
        <v>QB</v>
      </c>
      <c r="F172" s="6" t="s">
        <v>194</v>
      </c>
      <c r="G172" s="7">
        <v>1</v>
      </c>
      <c r="H172" s="8" t="s">
        <v>19</v>
      </c>
    </row>
    <row r="173" spans="1:8" ht="16.5">
      <c r="A173" s="5">
        <v>166</v>
      </c>
      <c r="B173">
        <f>B172+1</f>
        <v>172</v>
      </c>
      <c r="C173">
        <f>C161+1</f>
        <v>15</v>
      </c>
      <c r="D173" s="13">
        <v>4</v>
      </c>
      <c r="E173" s="13" t="str">
        <f>MID(LEFT(Table2[[#This Row],[Player]], FIND(")", Table2[[#This Row],[Player]]) - 1), FIND("{token}", SUBSTITUTE(Table2[[#This Row],[Player]], " ", "{token}", 3)) + 1, LEN(Table2[[#This Row],[Player]]))</f>
        <v>RB</v>
      </c>
      <c r="F173" s="6" t="s">
        <v>195</v>
      </c>
      <c r="G173" s="7">
        <v>1</v>
      </c>
      <c r="H173" s="8" t="s">
        <v>40</v>
      </c>
    </row>
    <row r="174" spans="1:8" ht="16.5">
      <c r="A174" s="5">
        <v>167</v>
      </c>
      <c r="B174">
        <f>B173+1</f>
        <v>173</v>
      </c>
      <c r="C174">
        <f>C162+1</f>
        <v>15</v>
      </c>
      <c r="D174" s="13">
        <v>5</v>
      </c>
      <c r="E174" s="13" t="str">
        <f>MID(LEFT(Table2[[#This Row],[Player]], FIND(")", Table2[[#This Row],[Player]]) - 1), FIND("{token}", SUBSTITUTE(Table2[[#This Row],[Player]], " ", "{token}", 3)) + 1, LEN(Table2[[#This Row],[Player]]))</f>
        <v>- WR</v>
      </c>
      <c r="F174" s="6" t="s">
        <v>196</v>
      </c>
      <c r="G174" s="7">
        <v>1</v>
      </c>
      <c r="H174" s="8" t="s">
        <v>15</v>
      </c>
    </row>
    <row r="175" spans="1:8" ht="16.5">
      <c r="A175" s="5">
        <v>168</v>
      </c>
      <c r="B175">
        <f>B174+1</f>
        <v>174</v>
      </c>
      <c r="C175">
        <f>C163+1</f>
        <v>15</v>
      </c>
      <c r="D175" s="13">
        <v>6</v>
      </c>
      <c r="E175" s="13" t="str">
        <f>MID(LEFT(Table2[[#This Row],[Player]], FIND(")", Table2[[#This Row],[Player]]) - 1), FIND("{token}", SUBSTITUTE(Table2[[#This Row],[Player]], " ", "{token}", 3)) + 1, LEN(Table2[[#This Row],[Player]]))</f>
        <v>RB</v>
      </c>
      <c r="F175" s="6" t="s">
        <v>197</v>
      </c>
      <c r="G175" s="7">
        <v>1</v>
      </c>
      <c r="H175" s="8" t="s">
        <v>13</v>
      </c>
    </row>
    <row r="176" spans="1:8" ht="16.5">
      <c r="A176" s="5">
        <v>169</v>
      </c>
      <c r="B176">
        <f>B175+1</f>
        <v>175</v>
      </c>
      <c r="C176">
        <f>C164+1</f>
        <v>15</v>
      </c>
      <c r="D176" s="13">
        <v>7</v>
      </c>
      <c r="E176" s="13" t="s">
        <v>147</v>
      </c>
      <c r="F176" s="6" t="s">
        <v>198</v>
      </c>
      <c r="G176" s="7">
        <v>1</v>
      </c>
      <c r="H176" s="8" t="s">
        <v>11</v>
      </c>
    </row>
    <row r="177" spans="1:8" ht="16.5">
      <c r="A177" s="5">
        <v>172</v>
      </c>
      <c r="B177">
        <f>B176+1</f>
        <v>176</v>
      </c>
      <c r="C177">
        <f>C165+1</f>
        <v>15</v>
      </c>
      <c r="D177" s="13">
        <v>8</v>
      </c>
      <c r="E177" s="13" t="str">
        <f>MID(LEFT(Table2[[#This Row],[Player]], FIND(")", Table2[[#This Row],[Player]]) - 1), FIND("{token}", SUBSTITUTE(Table2[[#This Row],[Player]], " ", "{token}", 3)) + 1, LEN(Table2[[#This Row],[Player]]))</f>
        <v>RB</v>
      </c>
      <c r="F177" s="6" t="s">
        <v>199</v>
      </c>
      <c r="G177" s="7">
        <v>1</v>
      </c>
      <c r="H177" s="8" t="s">
        <v>24</v>
      </c>
    </row>
    <row r="178" spans="1:8" ht="16.5">
      <c r="A178" s="5">
        <v>174</v>
      </c>
      <c r="B178">
        <f>B177+1</f>
        <v>177</v>
      </c>
      <c r="C178">
        <f>C166+1</f>
        <v>15</v>
      </c>
      <c r="D178" s="13">
        <v>9</v>
      </c>
      <c r="E178" s="13" t="str">
        <f>MID(LEFT(Table2[[#This Row],[Player]], FIND(")", Table2[[#This Row],[Player]]) - 1), FIND("{token}", SUBSTITUTE(Table2[[#This Row],[Player]], " ", "{token}", 3)) + 1, LEN(Table2[[#This Row],[Player]]))</f>
        <v>WR</v>
      </c>
      <c r="F178" s="6" t="s">
        <v>200</v>
      </c>
      <c r="G178" s="7">
        <v>1</v>
      </c>
      <c r="H178" s="8" t="s">
        <v>40</v>
      </c>
    </row>
    <row r="179" spans="1:8" ht="16.5">
      <c r="A179" s="5">
        <v>175</v>
      </c>
      <c r="B179">
        <f>B178+1</f>
        <v>178</v>
      </c>
      <c r="C179">
        <f>C167+1</f>
        <v>15</v>
      </c>
      <c r="D179" s="13">
        <v>10</v>
      </c>
      <c r="E179" s="13" t="str">
        <f>MID(LEFT(Table2[[#This Row],[Player]], FIND(")", Table2[[#This Row],[Player]]) - 1), FIND("{token}", SUBSTITUTE(Table2[[#This Row],[Player]], " ", "{token}", 3)) + 1, LEN(Table2[[#This Row],[Player]]))</f>
        <v>RB</v>
      </c>
      <c r="F179" s="6" t="s">
        <v>201</v>
      </c>
      <c r="G179" s="7">
        <v>1</v>
      </c>
      <c r="H179" s="8" t="s">
        <v>13</v>
      </c>
    </row>
    <row r="180" spans="1:8" ht="16.5">
      <c r="A180" s="5">
        <v>176</v>
      </c>
      <c r="B180">
        <f>B179+1</f>
        <v>179</v>
      </c>
      <c r="C180">
        <f>C168+1</f>
        <v>15</v>
      </c>
      <c r="D180" s="13">
        <v>11</v>
      </c>
      <c r="E180" s="13" t="str">
        <f>MID(LEFT(Table2[[#This Row],[Player]], FIND(")", Table2[[#This Row],[Player]]) - 1), FIND("{token}", SUBSTITUTE(Table2[[#This Row],[Player]], " ", "{token}", 3)) + 1, LEN(Table2[[#This Row],[Player]]))</f>
        <v>K</v>
      </c>
      <c r="F180" s="6" t="s">
        <v>202</v>
      </c>
      <c r="G180" s="7">
        <v>1</v>
      </c>
      <c r="H180" s="8" t="s">
        <v>11</v>
      </c>
    </row>
    <row r="181" spans="1:8" ht="16.5">
      <c r="A181" s="5">
        <v>177</v>
      </c>
      <c r="B181">
        <f>B180+1</f>
        <v>180</v>
      </c>
      <c r="C181">
        <f>C169+1</f>
        <v>15</v>
      </c>
      <c r="D181" s="13">
        <v>12</v>
      </c>
      <c r="E181" s="13" t="str">
        <f>MID(LEFT(Table2[[#This Row],[Player]], FIND(")", Table2[[#This Row],[Player]]) - 1), FIND("{token}", SUBSTITUTE(Table2[[#This Row],[Player]], " ", "{token}", 3)) + 1, LEN(Table2[[#This Row],[Player]]))</f>
        <v>WR</v>
      </c>
      <c r="F181" s="6" t="s">
        <v>203</v>
      </c>
      <c r="G181" s="7">
        <v>1</v>
      </c>
      <c r="H181" s="8" t="s">
        <v>31</v>
      </c>
    </row>
    <row r="182" spans="1:8" ht="16.5">
      <c r="A182" s="5">
        <v>179</v>
      </c>
      <c r="B182">
        <f>B181+1</f>
        <v>181</v>
      </c>
      <c r="C182">
        <f>C170+1</f>
        <v>16</v>
      </c>
      <c r="D182" s="13">
        <v>1</v>
      </c>
      <c r="E182" s="13" t="str">
        <f>MID(LEFT(Table2[[#This Row],[Player]], FIND(")", Table2[[#This Row],[Player]]) - 1), FIND("{token}", SUBSTITUTE(Table2[[#This Row],[Player]], " ", "{token}", 3)) + 1, LEN(Table2[[#This Row],[Player]]))</f>
        <v>WR</v>
      </c>
      <c r="F182" s="6" t="s">
        <v>204</v>
      </c>
      <c r="G182" s="7">
        <v>1</v>
      </c>
      <c r="H182" s="8" t="s">
        <v>19</v>
      </c>
    </row>
    <row r="183" spans="1:8" ht="16.5">
      <c r="A183" s="5">
        <v>180</v>
      </c>
      <c r="B183">
        <f>B182+1</f>
        <v>182</v>
      </c>
      <c r="C183">
        <f>C171+1</f>
        <v>16</v>
      </c>
      <c r="D183" s="13">
        <v>2</v>
      </c>
      <c r="E183" s="13" t="str">
        <f>MID(LEFT(Table2[[#This Row],[Player]], FIND(")", Table2[[#This Row],[Player]]) - 1), FIND("{token}", SUBSTITUTE(Table2[[#This Row],[Player]], " ", "{token}", 3)) + 1, LEN(Table2[[#This Row],[Player]]))</f>
        <v>QB</v>
      </c>
      <c r="F183" s="6" t="s">
        <v>205</v>
      </c>
      <c r="G183" s="7">
        <v>1</v>
      </c>
      <c r="H183" s="8" t="s">
        <v>40</v>
      </c>
    </row>
    <row r="184" spans="1:8" ht="16.5">
      <c r="A184" s="5">
        <v>181</v>
      </c>
      <c r="B184">
        <f>B183+1</f>
        <v>183</v>
      </c>
      <c r="C184">
        <f>C172+1</f>
        <v>16</v>
      </c>
      <c r="D184" s="13">
        <v>3</v>
      </c>
      <c r="E184" s="13" t="str">
        <f>MID(LEFT(Table2[[#This Row],[Player]], FIND(")", Table2[[#This Row],[Player]]) - 1), FIND("{token}", SUBSTITUTE(Table2[[#This Row],[Player]], " ", "{token}", 3)) + 1, LEN(Table2[[#This Row],[Player]]))</f>
        <v>RB</v>
      </c>
      <c r="F184" s="6" t="s">
        <v>206</v>
      </c>
      <c r="G184" s="7">
        <v>1</v>
      </c>
      <c r="H184" s="8" t="s">
        <v>13</v>
      </c>
    </row>
    <row r="185" spans="1:8" ht="16.5">
      <c r="A185" s="5">
        <v>182</v>
      </c>
      <c r="B185">
        <f>B184+1</f>
        <v>184</v>
      </c>
      <c r="C185">
        <f>C173+1</f>
        <v>16</v>
      </c>
      <c r="D185" s="13">
        <v>4</v>
      </c>
      <c r="E185" s="13" t="str">
        <f>MID(LEFT(Table2[[#This Row],[Player]], FIND(")", Table2[[#This Row],[Player]]) - 1), FIND("{token}", SUBSTITUTE(Table2[[#This Row],[Player]], " ", "{token}", 3)) + 1, LEN(Table2[[#This Row],[Player]]))</f>
        <v>WR</v>
      </c>
      <c r="F185" s="6" t="s">
        <v>207</v>
      </c>
      <c r="G185" s="7">
        <v>1</v>
      </c>
      <c r="H185" s="8" t="s">
        <v>11</v>
      </c>
    </row>
    <row r="186" spans="1:8" ht="16.5">
      <c r="A186" s="5">
        <v>184</v>
      </c>
      <c r="B186">
        <f>B185+1</f>
        <v>185</v>
      </c>
      <c r="C186">
        <f>C174+1</f>
        <v>16</v>
      </c>
      <c r="D186" s="13">
        <v>5</v>
      </c>
      <c r="E186" s="13" t="str">
        <f>MID(LEFT(Table2[[#This Row],[Player]], FIND(")", Table2[[#This Row],[Player]]) - 1), FIND("{token}", SUBSTITUTE(Table2[[#This Row],[Player]], " ", "{token}", 3)) + 1, LEN(Table2[[#This Row],[Player]]))</f>
        <v>TE</v>
      </c>
      <c r="F186" s="6" t="s">
        <v>208</v>
      </c>
      <c r="G186" s="7">
        <v>1</v>
      </c>
      <c r="H186" s="8" t="s">
        <v>40</v>
      </c>
    </row>
    <row r="187" spans="1:8" ht="16.5">
      <c r="A187" s="5">
        <v>185</v>
      </c>
      <c r="B187">
        <f>B186+1</f>
        <v>186</v>
      </c>
      <c r="C187">
        <f>C175+1</f>
        <v>16</v>
      </c>
      <c r="D187" s="13">
        <v>6</v>
      </c>
      <c r="E187" s="13" t="str">
        <f>MID(LEFT(Table2[[#This Row],[Player]], FIND(")", Table2[[#This Row],[Player]]) - 1), FIND("{token}", SUBSTITUTE(Table2[[#This Row],[Player]], " ", "{token}", 3)) + 1, LEN(Table2[[#This Row],[Player]]))</f>
        <v>WR</v>
      </c>
      <c r="F187" s="6" t="s">
        <v>209</v>
      </c>
      <c r="G187" s="7">
        <v>1</v>
      </c>
      <c r="H187" s="8" t="s">
        <v>13</v>
      </c>
    </row>
    <row r="188" spans="1:8" ht="16.5">
      <c r="A188" s="5">
        <v>186</v>
      </c>
      <c r="B188">
        <f>B187+1</f>
        <v>187</v>
      </c>
      <c r="C188">
        <f>C176+1</f>
        <v>16</v>
      </c>
      <c r="D188" s="13">
        <v>7</v>
      </c>
      <c r="E188" s="13" t="str">
        <f>MID(LEFT(Table2[[#This Row],[Player]], FIND(")", Table2[[#This Row],[Player]]) - 1), FIND("{token}", SUBSTITUTE(Table2[[#This Row],[Player]], " ", "{token}", 3)) + 1, LEN(Table2[[#This Row],[Player]]))</f>
        <v>TE</v>
      </c>
      <c r="F188" s="6" t="s">
        <v>210</v>
      </c>
      <c r="G188" s="7">
        <v>1</v>
      </c>
      <c r="H188" s="8" t="s">
        <v>11</v>
      </c>
    </row>
    <row r="189" spans="1:8" ht="16.5">
      <c r="A189" s="5">
        <v>187</v>
      </c>
      <c r="B189">
        <f>B188+1</f>
        <v>188</v>
      </c>
      <c r="C189">
        <f>C177+1</f>
        <v>16</v>
      </c>
      <c r="D189" s="13">
        <v>8</v>
      </c>
      <c r="E189" s="13" t="str">
        <f>MID(LEFT(Table2[[#This Row],[Player]], FIND(")", Table2[[#This Row],[Player]]) - 1), FIND("{token}", SUBSTITUTE(Table2[[#This Row],[Player]], " ", "{token}", 3)) + 1, LEN(Table2[[#This Row],[Player]]))</f>
        <v>RB</v>
      </c>
      <c r="F189" s="6" t="s">
        <v>211</v>
      </c>
      <c r="G189" s="7">
        <v>1</v>
      </c>
      <c r="H189" s="8" t="s">
        <v>40</v>
      </c>
    </row>
    <row r="190" spans="1:8" ht="16.5">
      <c r="A190" s="5">
        <v>189</v>
      </c>
      <c r="B190">
        <f>B189+1</f>
        <v>189</v>
      </c>
      <c r="C190">
        <f>C178+1</f>
        <v>16</v>
      </c>
      <c r="D190" s="13">
        <v>9</v>
      </c>
      <c r="E190" s="13" t="str">
        <f>MID(LEFT(Table2[[#This Row],[Player]], FIND(")", Table2[[#This Row],[Player]]) - 1), FIND("{token}", SUBSTITUTE(Table2[[#This Row],[Player]], " ", "{token}", 3)) + 1, LEN(Table2[[#This Row],[Player]]))</f>
        <v>QB</v>
      </c>
      <c r="F190" s="6" t="s">
        <v>212</v>
      </c>
      <c r="G190" s="7">
        <v>1</v>
      </c>
      <c r="H190" s="8" t="s">
        <v>11</v>
      </c>
    </row>
    <row r="191" spans="1:8" ht="16.5">
      <c r="A191" s="5">
        <v>190</v>
      </c>
      <c r="B191">
        <f>B190+1</f>
        <v>190</v>
      </c>
      <c r="C191">
        <f>C179+1</f>
        <v>16</v>
      </c>
      <c r="D191" s="13">
        <v>10</v>
      </c>
      <c r="E191" s="13" t="str">
        <f>MID(LEFT(Table2[[#This Row],[Player]], FIND(")", Table2[[#This Row],[Player]]) - 1), FIND("{token}", SUBSTITUTE(Table2[[#This Row],[Player]], " ", "{token}", 3)) + 1, LEN(Table2[[#This Row],[Player]]))</f>
        <v>RB</v>
      </c>
      <c r="F191" s="6" t="s">
        <v>213</v>
      </c>
      <c r="G191" s="7">
        <v>1</v>
      </c>
      <c r="H191" s="8" t="s">
        <v>11</v>
      </c>
    </row>
    <row r="192" spans="1:8" ht="16.5">
      <c r="A192" s="5">
        <v>191</v>
      </c>
      <c r="B192">
        <f>B191+1</f>
        <v>191</v>
      </c>
      <c r="C192">
        <f>C180+1</f>
        <v>16</v>
      </c>
      <c r="D192" s="13">
        <v>11</v>
      </c>
      <c r="E192" s="13" t="s">
        <v>147</v>
      </c>
      <c r="F192" s="6" t="s">
        <v>214</v>
      </c>
      <c r="G192" s="7">
        <v>1</v>
      </c>
      <c r="H192" s="8" t="s">
        <v>11</v>
      </c>
    </row>
    <row r="193" spans="1:8" ht="16.5">
      <c r="A193" s="11">
        <v>192</v>
      </c>
      <c r="B193">
        <f>B192+1</f>
        <v>192</v>
      </c>
      <c r="C193">
        <f>C181+1</f>
        <v>16</v>
      </c>
      <c r="D193" s="13">
        <v>12</v>
      </c>
      <c r="E193" s="13" t="str">
        <f>MID(LEFT(Table2[[#This Row],[Player]], FIND(")", Table2[[#This Row],[Player]]) - 1), FIND("{token}", SUBSTITUTE(Table2[[#This Row],[Player]], " ", "{token}", 3)) + 1, LEN(Table2[[#This Row],[Player]]))</f>
        <v>K</v>
      </c>
      <c r="F193" s="9" t="s">
        <v>215</v>
      </c>
      <c r="G193" s="10">
        <v>1</v>
      </c>
      <c r="H193" s="12" t="s">
        <v>11</v>
      </c>
    </row>
  </sheetData>
  <hyperlinks>
    <hyperlink ref="F193" r:id="rId1" xr:uid="{08FCE8D4-EBED-4F00-AE07-F5BDB9CE265C}"/>
    <hyperlink ref="F192" r:id="rId2" xr:uid="{3EBE152D-103C-44EC-85B7-31D1FBF3B56E}"/>
    <hyperlink ref="F191" r:id="rId3" xr:uid="{F297EDE9-FB70-4DF7-B1FF-737D6B2FBE5D}"/>
    <hyperlink ref="F190" r:id="rId4" xr:uid="{F387B145-BE64-4113-AEE3-7E0E3AAE4D0E}"/>
    <hyperlink ref="F147" r:id="rId5" xr:uid="{28C56853-B92A-4E12-9931-704B5DB121F7}"/>
    <hyperlink ref="F189" r:id="rId6" xr:uid="{03347E0B-1FFD-4E79-A41C-D9D9F22C06F6}"/>
    <hyperlink ref="F188" r:id="rId7" xr:uid="{F121F5AF-F596-4604-8986-B2C046823DC3}"/>
    <hyperlink ref="F187" r:id="rId8" xr:uid="{567A062D-A058-46D8-9631-32730352A820}"/>
    <hyperlink ref="F186" r:id="rId9" xr:uid="{D3963B96-53B8-4DCE-B06B-819F5D20567F}"/>
    <hyperlink ref="F82" r:id="rId10" xr:uid="{611BAE5C-9D31-43E0-A32D-37B372351637}"/>
    <hyperlink ref="F185" r:id="rId11" xr:uid="{427BDF07-CE7C-4D49-9C11-684BB19A05CF}"/>
    <hyperlink ref="F184" r:id="rId12" xr:uid="{95D91772-F8BB-45F0-ACC0-DC75839EB40E}"/>
    <hyperlink ref="F183" r:id="rId13" xr:uid="{700471DC-D3DE-4C9B-AFCD-30F04BFBC924}"/>
    <hyperlink ref="F182" r:id="rId14" xr:uid="{004DEA47-A96D-497F-B65C-1AACB5AC330A}"/>
    <hyperlink ref="F81" r:id="rId15" xr:uid="{FB660487-870F-4105-841D-1650F9E18A4D}"/>
    <hyperlink ref="F181" r:id="rId16" xr:uid="{CDDF2610-E920-4717-83BF-CD58FBD2E8E1}"/>
    <hyperlink ref="F180" r:id="rId17" xr:uid="{3C68CBD4-6D92-4242-B0C4-5EC4342EE160}"/>
    <hyperlink ref="F179" r:id="rId18" xr:uid="{55822CD9-83F7-4DA9-8479-06E3B687ABEE}"/>
    <hyperlink ref="F178" r:id="rId19" xr:uid="{B4E481E8-A28B-4A6C-A26D-2C5162E786E6}"/>
    <hyperlink ref="F125" r:id="rId20" xr:uid="{6FB9A41B-F565-40F0-A355-2EFDB92488DA}"/>
    <hyperlink ref="F177" r:id="rId21" xr:uid="{BC1F9E99-A952-46F0-B2AE-BA248AD1566B}"/>
    <hyperlink ref="F124" r:id="rId22" xr:uid="{CA51A73E-D2D8-4A9E-9BB3-F579EC41AD25}"/>
    <hyperlink ref="F146" r:id="rId23" xr:uid="{413842BA-BFBE-4F9A-AD6B-4CA7085001A9}"/>
    <hyperlink ref="F176" r:id="rId24" xr:uid="{8942A522-CCD9-4AC3-A134-E1CCB85FD3C5}"/>
    <hyperlink ref="F175" r:id="rId25" xr:uid="{5B0A700A-FE92-4CDC-85E6-8C5042E48E6B}"/>
    <hyperlink ref="F174" r:id="rId26" xr:uid="{4EAEBC55-8CCF-4C07-B088-4321ED7B8736}"/>
    <hyperlink ref="F173" r:id="rId27" xr:uid="{BBD4B49F-6CD8-4938-B507-BBC8960D053E}"/>
    <hyperlink ref="F172" r:id="rId28" xr:uid="{27D3CB5A-023F-44EE-B5EC-DB437C5E867A}"/>
    <hyperlink ref="F171" r:id="rId29" xr:uid="{0BCA62C1-FEDA-416F-8307-0B96649B9021}"/>
    <hyperlink ref="F123" r:id="rId30" xr:uid="{EB5BD254-FF60-431E-A573-6D6B01274AC3}"/>
    <hyperlink ref="F145" r:id="rId31" xr:uid="{988280F4-95B9-4B26-94DA-894DDF4DD8F2}"/>
    <hyperlink ref="F170" r:id="rId32" xr:uid="{DBD0C8BE-343A-47EA-8FC5-5E9930F224DD}"/>
    <hyperlink ref="F122" r:id="rId33" xr:uid="{2A3203FB-4643-46E3-A768-ECCD9964BA77}"/>
    <hyperlink ref="F72" r:id="rId34" xr:uid="{19B484F3-4A89-4742-928B-EB40B25973D2}"/>
    <hyperlink ref="F144" r:id="rId35" xr:uid="{E4CDB3C7-760C-4796-BDFE-E136E7A462BA}"/>
    <hyperlink ref="F169" r:id="rId36" xr:uid="{90D658FC-3414-4009-8895-CD388E4FB83A}"/>
    <hyperlink ref="F143" r:id="rId37" xr:uid="{C6405129-5BDB-40CA-8B8B-9B8805AB62EF}"/>
    <hyperlink ref="F168" r:id="rId38" xr:uid="{8CEFFCA8-66B0-4D81-AE56-4E8CAC48985D}"/>
    <hyperlink ref="F167" r:id="rId39" xr:uid="{D6594B35-5485-46E9-A6E9-8877FB50FAA8}"/>
    <hyperlink ref="F166" r:id="rId40" xr:uid="{A76CF2F1-9857-400E-A316-32E38A196062}"/>
    <hyperlink ref="F142" r:id="rId41" xr:uid="{0BEEA120-C223-494E-9D05-A5B34B50BF46}"/>
    <hyperlink ref="F141" r:id="rId42" xr:uid="{838EE128-C4F2-4EF0-9DAA-166A0D4008E0}"/>
    <hyperlink ref="F140" r:id="rId43" xr:uid="{89141E33-0C8B-4545-B2D9-6B183F1AD372}"/>
    <hyperlink ref="F139" r:id="rId44" xr:uid="{8396BFB9-56EC-4B3E-8FF0-32085A4A2B2D}"/>
    <hyperlink ref="F138" r:id="rId45" xr:uid="{4734675C-3CC4-443E-8AF7-AFE9F8283935}"/>
    <hyperlink ref="F165" r:id="rId46" xr:uid="{1A6C52B5-106A-4C4B-BC0A-F92D6DF15E4E}"/>
    <hyperlink ref="F121" r:id="rId47" xr:uid="{FBBF440E-782E-4509-B206-26F9195AA204}"/>
    <hyperlink ref="F120" r:id="rId48" xr:uid="{B7424BD7-5A68-42A8-A6AC-8DFA8C1C6C68}"/>
    <hyperlink ref="F164" r:id="rId49" xr:uid="{258157A8-1466-404F-A16D-389793CFC209}"/>
    <hyperlink ref="F92" r:id="rId50" xr:uid="{6193EE2F-6EB7-424D-9178-83FB9A26C9B2}"/>
    <hyperlink ref="F137" r:id="rId51" xr:uid="{AE3EBB13-3903-48F5-8824-923B3B3BDB23}"/>
    <hyperlink ref="F119" r:id="rId52" xr:uid="{274E7E0F-F748-4BE2-8908-B0E66CB84BC3}"/>
    <hyperlink ref="F118" r:id="rId53" xr:uid="{E5726286-CB3C-4D10-9B19-103E7B6A5429}"/>
    <hyperlink ref="F163" r:id="rId54" xr:uid="{6CBDD062-CF26-4BDD-B36D-BAD78D6437E5}"/>
    <hyperlink ref="F91" r:id="rId55" xr:uid="{949C1BA1-7100-4D1B-ADB9-382BE1891AE7}"/>
    <hyperlink ref="F117" r:id="rId56" xr:uid="{BD21C528-4E51-4A92-8655-C67A0CD7E3AD}"/>
    <hyperlink ref="F61" r:id="rId57" xr:uid="{BB412ADE-106C-4785-82A5-4774664FD32E}"/>
    <hyperlink ref="F162" r:id="rId58" xr:uid="{9A01DBA1-E0AE-48C8-9C05-79D9EE420C5E}"/>
    <hyperlink ref="F136" r:id="rId59" xr:uid="{E6196539-70B1-4593-93BC-5ABD4062E8FC}"/>
    <hyperlink ref="F71" r:id="rId60" xr:uid="{45350517-FD9B-4D50-815D-B269410FAB00}"/>
    <hyperlink ref="F90" r:id="rId61" xr:uid="{969716AE-1B32-4908-9283-6C9280F4C2BB}"/>
    <hyperlink ref="F135" r:id="rId62" xr:uid="{D1CA7A9A-077A-4101-A423-78383019C834}"/>
    <hyperlink ref="F116" r:id="rId63" xr:uid="{FE63E0E8-AFAC-4FB7-9095-B7799FC4A9EF}"/>
    <hyperlink ref="F104" r:id="rId64" xr:uid="{21542A81-911F-439C-AFD2-99D654527EC4}"/>
    <hyperlink ref="F115" r:id="rId65" xr:uid="{7CE40828-7349-44A1-A30E-B0EF43C7A7BF}"/>
    <hyperlink ref="F70" r:id="rId66" xr:uid="{F92B4AA0-6D75-4EB0-850A-1B2347F96CF5}"/>
    <hyperlink ref="F114" r:id="rId67" xr:uid="{46137416-130B-483B-BEE3-372C127F9B81}"/>
    <hyperlink ref="F113" r:id="rId68" xr:uid="{A5AAD20A-DD42-4A7B-83A5-D1F5EADD4E98}"/>
    <hyperlink ref="F112" r:id="rId69" xr:uid="{9B5AB5D3-A345-4670-AFD3-3956FFF7C7ED}"/>
    <hyperlink ref="F58" r:id="rId70" xr:uid="{A2C4A5E7-6519-41B4-81D5-793849F1F2E3}"/>
    <hyperlink ref="F103" r:id="rId71" xr:uid="{71C2AF55-8604-4EF2-9215-DBD28781E7AC}"/>
    <hyperlink ref="F161" r:id="rId72" xr:uid="{67E82A1D-718B-4275-8F2E-0D1F43ED6964}"/>
    <hyperlink ref="F111" r:id="rId73" xr:uid="{56238F0A-4487-4B00-9B49-BF73157C624C}"/>
    <hyperlink ref="F102" r:id="rId74" xr:uid="{4A30C776-275D-45A9-BEFB-FB0C8A5037A0}"/>
    <hyperlink ref="F101" r:id="rId75" xr:uid="{735465C4-8F06-4E8F-9F59-9D2E4324AEF0}"/>
    <hyperlink ref="F110" r:id="rId76" xr:uid="{0E7BDA3D-F879-430C-80EE-1C45ED5CF232}"/>
    <hyperlink ref="F109" r:id="rId77" xr:uid="{CBC97105-E704-420E-9D64-E23EFF765ABD}"/>
    <hyperlink ref="F100" r:id="rId78" xr:uid="{8ACF1B85-6A33-4C3C-91F5-90E5E2629E8D}"/>
    <hyperlink ref="F99" r:id="rId79" xr:uid="{7AF878BB-7404-4102-8CBE-F8CCAA2A0EC7}"/>
    <hyperlink ref="F108" r:id="rId80" xr:uid="{A64B3269-2301-4D04-9115-9DFCA273357B}"/>
    <hyperlink ref="F107" r:id="rId81" xr:uid="{CD56B5F3-0051-48DB-8A27-C06014B3DC4C}"/>
    <hyperlink ref="F160" r:id="rId82" xr:uid="{801E783E-71C7-4BBE-8EA5-898817D102A0}"/>
    <hyperlink ref="F159" r:id="rId83" xr:uid="{2623314F-916A-4F97-AEA0-D39ED8A35685}"/>
    <hyperlink ref="F89" r:id="rId84" xr:uid="{ED7B3335-A1C2-4823-9354-9EF2178910DF}"/>
    <hyperlink ref="F158" r:id="rId85" xr:uid="{63141946-ED48-4B75-989F-FCA46C0304F1}"/>
    <hyperlink ref="F98" r:id="rId86" xr:uid="{BE9F0FC8-C431-4B82-BF34-DD349A3CEFD2}"/>
    <hyperlink ref="F60" r:id="rId87" xr:uid="{60267668-E0B4-4A64-A1C8-0B13A2973D4B}"/>
    <hyperlink ref="F97" r:id="rId88" xr:uid="{01183326-B43E-4EC2-BC9F-CB3E3C271A0D}"/>
    <hyperlink ref="F96" r:id="rId89" xr:uid="{BE6B8F27-A9E4-4847-8E89-24A24A5CA46C}"/>
    <hyperlink ref="F95" r:id="rId90" xr:uid="{F1B60AC5-F0FC-4D90-A625-788F8B1E04AB}"/>
    <hyperlink ref="F88" r:id="rId91" xr:uid="{48225C30-F51E-42DD-A261-4A4B923A35FC}"/>
    <hyperlink ref="F80" r:id="rId92" xr:uid="{1D250F96-D7A5-4FC4-8A0F-E5280B1E1B0E}"/>
    <hyperlink ref="F79" r:id="rId93" xr:uid="{8DAEBEFE-6EAC-42E9-8D23-C5B6490FE4D8}"/>
    <hyperlink ref="F59" r:id="rId94" xr:uid="{175A0D16-6994-47D4-9F5F-C60571E47F7D}"/>
    <hyperlink ref="F157" r:id="rId95" xr:uid="{5C39FA01-853E-4D61-AB04-DEE4C0028E82}"/>
    <hyperlink ref="F94" r:id="rId96" xr:uid="{A108F929-2478-4639-84AC-BF161BACC652}"/>
    <hyperlink ref="F93" r:id="rId97" xr:uid="{CE5075C9-9026-417E-AD57-7E09B4030C54}"/>
    <hyperlink ref="F87" r:id="rId98" xr:uid="{63382CDB-37EC-4FC3-80CE-B2AFB636922B}"/>
    <hyperlink ref="F47" r:id="rId99" xr:uid="{0AFFADDF-39D1-49B9-9CD8-CD0EFF030314}"/>
    <hyperlink ref="F86" r:id="rId100" xr:uid="{8C90506D-D661-46E6-A16D-D9E216ED65D7}"/>
    <hyperlink ref="F156" r:id="rId101" xr:uid="{C3C154B3-2D9A-4B5F-80F9-8CB037A6A222}"/>
    <hyperlink ref="F77" r:id="rId102" xr:uid="{1B25F2F6-4C11-4D91-B9E6-4E410D6C8871}"/>
    <hyperlink ref="F106" r:id="rId103" xr:uid="{0B7AB8DA-6AEF-4F53-8A2B-57E05E2034FB}"/>
    <hyperlink ref="F78" r:id="rId104" xr:uid="{A65F7B84-358D-41AF-93A8-4A95C83C2E2C}"/>
    <hyperlink ref="F57" r:id="rId105" xr:uid="{2D375DAD-0F71-40A5-9385-09D27E5830B6}"/>
    <hyperlink ref="F69" r:id="rId106" xr:uid="{33C801F3-8D80-4AE2-9AC3-1991A8FEF9BB}"/>
    <hyperlink ref="F155" r:id="rId107" xr:uid="{1C85D351-FC48-4008-9E90-819CC331DB6F}"/>
    <hyperlink ref="F134" r:id="rId108" xr:uid="{365BC094-5576-49E2-9D77-2BE153701CB2}"/>
    <hyperlink ref="F85" r:id="rId109" xr:uid="{618ACC36-B018-41CF-BE44-7A87696F5F6B}"/>
    <hyperlink ref="F84" r:id="rId110" xr:uid="{E1FD5763-35E9-4C0E-A996-66A7F9139682}"/>
    <hyperlink ref="F154" r:id="rId111" xr:uid="{DED3CEA4-B914-4577-A623-71336FBDD846}"/>
    <hyperlink ref="F76" r:id="rId112" xr:uid="{E715F0CF-10DA-4624-88BD-EAB21AF89968}"/>
    <hyperlink ref="F75" r:id="rId113" xr:uid="{01939472-7CD4-4059-8E84-298F43B95625}"/>
    <hyperlink ref="F38" r:id="rId114" xr:uid="{1A610A93-FD81-4261-BC03-C8016946D619}"/>
    <hyperlink ref="F37" r:id="rId115" xr:uid="{38CFD27B-D4DE-4D9F-8AC4-45289A1B0CF6}"/>
    <hyperlink ref="F68" r:id="rId116" xr:uid="{7FB57843-D12C-441E-BB21-7741C8C9C074}"/>
    <hyperlink ref="F26" r:id="rId117" xr:uid="{05D5CBFD-9C61-4E65-AEAB-866028614074}"/>
    <hyperlink ref="F73" r:id="rId118" xr:uid="{C271979F-2EE0-4BBB-9F42-A4DFC4F651DF}"/>
    <hyperlink ref="F56" r:id="rId119" xr:uid="{F5ABE55D-2280-465D-A090-0DABDC85D374}"/>
    <hyperlink ref="F20" r:id="rId120" xr:uid="{DB6DACE2-25B1-4F68-89FA-11F6C17C5FE8}"/>
    <hyperlink ref="F74" r:id="rId121" xr:uid="{69E9D6B4-08D6-4398-9B4D-CC3A46492682}"/>
    <hyperlink ref="F67" r:id="rId122" xr:uid="{C1C26DED-F2FD-4A56-B01C-B4F1E440BE9B}"/>
    <hyperlink ref="F153" r:id="rId123" xr:uid="{EA2F113C-70B0-436E-BCC6-563E6B88DC3D}"/>
    <hyperlink ref="F152" r:id="rId124" xr:uid="{18BE0670-A4E6-4A45-BA1F-3C2CE656F3B4}"/>
    <hyperlink ref="F32" r:id="rId125" xr:uid="{0D1A3438-36BE-4D5B-8385-8F67D5C9045A}"/>
    <hyperlink ref="F40" r:id="rId126" xr:uid="{6729D91D-D6E9-4008-B3BE-EF486677BB4D}"/>
    <hyperlink ref="F151" r:id="rId127" xr:uid="{44CF869B-87F1-4839-94A7-3EA5F09ADA17}"/>
    <hyperlink ref="F66" r:id="rId128" xr:uid="{7200DD9A-B3E0-4FAB-9BFF-F74A9DBD26EC}"/>
    <hyperlink ref="F150" r:id="rId129" xr:uid="{B3A79431-29DE-4C01-AEC5-F086FF6FF614}"/>
    <hyperlink ref="F36" r:id="rId130" xr:uid="{B3623149-5E31-490D-8FEA-03E2F9ED52BE}"/>
    <hyperlink ref="F65" r:id="rId131" xr:uid="{68C60475-5831-4D93-96FD-3AFCA936CF7F}"/>
    <hyperlink ref="F55" r:id="rId132" xr:uid="{B68B86F8-17AF-46FC-AF0D-F710A6C640FA}"/>
    <hyperlink ref="F51" r:id="rId133" xr:uid="{29FC8022-6628-4C4F-8705-3984576EB49A}"/>
    <hyperlink ref="F35" r:id="rId134" xr:uid="{C0C29946-0717-433E-AF0A-F86A1B10D1C6}"/>
    <hyperlink ref="F133" r:id="rId135" xr:uid="{38A72161-D1BB-431A-86F5-51AEB7821DFB}"/>
    <hyperlink ref="F149" r:id="rId136" xr:uid="{5A7D26DF-DCFF-459F-9AC6-B764819E11E3}"/>
    <hyperlink ref="F52" r:id="rId137" xr:uid="{C8566D3F-4D14-4F63-B368-045BF5A72D52}"/>
    <hyperlink ref="F23" r:id="rId138" xr:uid="{23C098AF-01F5-4800-BF65-657D469A3B7A}"/>
    <hyperlink ref="F132" r:id="rId139" xr:uid="{7D256E2A-8C28-4E0B-8310-9FF6FCEC1FB6}"/>
    <hyperlink ref="F46" r:id="rId140" xr:uid="{D09DFED3-3A6E-46C7-BEC1-F32CF63077E5}"/>
    <hyperlink ref="F54" r:id="rId141" xr:uid="{F46C5872-3DC8-42EB-82D3-74A5B0D206F5}"/>
    <hyperlink ref="F34" r:id="rId142" xr:uid="{D44BD06E-D4E0-4533-8355-F2F7398A0F9A}"/>
    <hyperlink ref="F64" r:id="rId143" xr:uid="{EDBCA59A-8787-4043-B129-D9D073ED03F0}"/>
    <hyperlink ref="F49" r:id="rId144" xr:uid="{66DBD7BC-F2EC-4A6E-94B7-C15FCF36EF11}"/>
    <hyperlink ref="F48" r:id="rId145" xr:uid="{2172760B-AEE7-48B6-A47D-69A8BC93A428}"/>
    <hyperlink ref="F45" r:id="rId146" xr:uid="{08F1BA57-38EF-49D1-A353-14DA9BAD3F3D}"/>
    <hyperlink ref="F44" r:id="rId147" xr:uid="{B1A978BA-4A34-4741-BF3D-81941C227CA8}"/>
    <hyperlink ref="F105" r:id="rId148" xr:uid="{F10C70DD-BA80-4845-8C73-79BEEC568AF6}"/>
    <hyperlink ref="F25" r:id="rId149" xr:uid="{B17DE01E-BDCB-407B-8FDD-A5946ED614AF}"/>
    <hyperlink ref="F50" r:id="rId150" xr:uid="{8A906A1E-03A3-4E75-B41C-7CA97890D804}"/>
    <hyperlink ref="F43" r:id="rId151" xr:uid="{4C654713-D528-45EA-AE96-EDF1086B7459}"/>
    <hyperlink ref="F22" r:id="rId152" xr:uid="{FD7A1181-2B0C-4E55-B59F-BE3B07B79441}"/>
    <hyperlink ref="F83" r:id="rId153" xr:uid="{1E79FA3C-0035-4F0D-BAA6-B892BF05D9B0}"/>
    <hyperlink ref="F39" r:id="rId154" xr:uid="{62E0274A-1D2F-4260-BE04-66E58D31C52F}"/>
    <hyperlink ref="F63" r:id="rId155" xr:uid="{3F5ECB8C-9B0F-45D2-BE5C-25C718A5D914}"/>
    <hyperlink ref="F31" r:id="rId156" xr:uid="{AAEDBA55-C660-4231-A97E-4E35C51D17A2}"/>
    <hyperlink ref="F62" r:id="rId157" xr:uid="{EAB117ED-F485-4010-B23B-9F9A55978E47}"/>
    <hyperlink ref="F131" r:id="rId158" xr:uid="{5A90BF5E-A475-4A0F-8206-2834FF6A6AE3}"/>
    <hyperlink ref="F12" r:id="rId159" xr:uid="{F44BDEC1-F17E-4871-B42E-C91556957EC9}"/>
    <hyperlink ref="F148" r:id="rId160" xr:uid="{145BB339-C24D-4A7D-811E-AACF40D72901}"/>
    <hyperlink ref="F19" r:id="rId161" xr:uid="{73F2B7EF-A3B7-4916-8B8F-900F60ACC5C4}"/>
    <hyperlink ref="F33" r:id="rId162" xr:uid="{A40B2D4D-2BAC-44F9-81CF-121C2EE179F7}"/>
    <hyperlink ref="F27" r:id="rId163" xr:uid="{3F59C229-07A4-4B19-A4F7-27E4B8A5FC6F}"/>
    <hyperlink ref="F18" r:id="rId164" xr:uid="{06252379-A02E-4CE0-BBBD-86E307B7AAFD}"/>
    <hyperlink ref="F29" r:id="rId165" xr:uid="{5BC77ABA-90DB-4305-986E-68343AF91404}"/>
    <hyperlink ref="F21" r:id="rId166" xr:uid="{6411E88A-7B8C-49AA-88B9-CE7321115C1A}"/>
    <hyperlink ref="F6" r:id="rId167" xr:uid="{C2C9186D-2A3F-4A30-B0C2-210F7617AA4B}"/>
    <hyperlink ref="F11" r:id="rId168" xr:uid="{416016DF-6C38-4D94-A9D2-D754267E5076}"/>
    <hyperlink ref="F53" r:id="rId169" xr:uid="{087BC014-6737-4D53-A7EC-175E2C13DB37}"/>
    <hyperlink ref="F8" r:id="rId170" xr:uid="{0DD74252-B1CD-423B-BC84-25EA06D05B86}"/>
    <hyperlink ref="F3" r:id="rId171" xr:uid="{11B3F698-9519-4844-AAC9-8FBFFAD46183}"/>
    <hyperlink ref="F130" r:id="rId172" xr:uid="{CF14B71F-D04C-4E0A-B067-17473F366003}"/>
    <hyperlink ref="F30" r:id="rId173" xr:uid="{B13FD3C0-F57F-4103-86F2-F0FBAC3A0678}"/>
    <hyperlink ref="F15" r:id="rId174" xr:uid="{6B11B1CA-E56D-4553-AB75-FA0024DB7A55}"/>
    <hyperlink ref="F16" r:id="rId175" xr:uid="{E2B76C14-7890-400D-8471-6E1C2775BAC7}"/>
    <hyperlink ref="F14" r:id="rId176" xr:uid="{1AF2D022-55C5-4224-B58E-F4DC0A9FDBB3}"/>
    <hyperlink ref="F24" r:id="rId177" xr:uid="{B2FE522C-73FB-452E-93BC-947A31254154}"/>
    <hyperlink ref="F41" r:id="rId178" xr:uid="{4ABB4194-8573-490E-83FE-82BD3FA3F474}"/>
    <hyperlink ref="F28" r:id="rId179" xr:uid="{638CFE24-F550-42A1-B43F-69E02A158568}"/>
    <hyperlink ref="F129" r:id="rId180" xr:uid="{3355D8D1-052F-4418-A105-6D1FB3172ACA}"/>
    <hyperlink ref="F128" r:id="rId181" xr:uid="{34FAB9B0-7CA8-4AFA-B9D5-288BBB9EE6C4}"/>
    <hyperlink ref="F5" r:id="rId182" xr:uid="{F5EF3453-5B17-49C5-84A0-CB95EA342C90}"/>
    <hyperlink ref="F7" r:id="rId183" xr:uid="{0DF41480-245D-48E1-BD5A-2ED83242FE02}"/>
    <hyperlink ref="F127" r:id="rId184" xr:uid="{FBF58B1C-491E-41AB-B1D6-8F78B75C4ABB}"/>
    <hyperlink ref="F42" r:id="rId185" xr:uid="{BAA795BC-4AF7-472D-9E83-071EE3AE18CF}"/>
    <hyperlink ref="F13" r:id="rId186" xr:uid="{8ABD7E23-B7A2-46A7-956E-3DBCEB774FA7}"/>
    <hyperlink ref="F4" r:id="rId187" xr:uid="{C119614B-1026-44EE-A029-959FEAC97376}"/>
    <hyperlink ref="F10" r:id="rId188" xr:uid="{D9E3AF2B-BEA7-42EA-B150-022CA5982321}"/>
    <hyperlink ref="F2" r:id="rId189" xr:uid="{C3FBDA41-DFD3-47AF-8D23-5F7D5B80B94D}"/>
    <hyperlink ref="F9" r:id="rId190" xr:uid="{5CEDFDDE-7D03-429A-9E6F-A9BE92BA3BC0}"/>
    <hyperlink ref="F17" r:id="rId191" xr:uid="{F826C0D7-0D7C-4EB2-8F38-7971E88C7CCB}"/>
    <hyperlink ref="F126" r:id="rId192" xr:uid="{1D9431C9-7C94-436E-BE5B-6B3DEE94FA24}"/>
  </hyperlinks>
  <pageMargins left="0.7" right="0.7" top="0.75" bottom="0.75" header="0.3" footer="0.3"/>
  <tableParts count="1">
    <tablePart r:id="rId1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Jamie Cool</cp:lastModifiedBy>
  <cp:revision/>
  <dcterms:created xsi:type="dcterms:W3CDTF">2024-09-03T03:12:24Z</dcterms:created>
  <dcterms:modified xsi:type="dcterms:W3CDTF">2025-09-04T01:56:55Z</dcterms:modified>
  <cp:category/>
  <cp:contentStatus/>
</cp:coreProperties>
</file>